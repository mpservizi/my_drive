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 activeTab="3"/>
  </bookViews>
  <sheets>
    <sheet name="risorse" sheetId="5" r:id="rId1"/>
    <sheet name="dati" sheetId="1" r:id="rId2"/>
    <sheet name="ui" sheetId="4" r:id="rId3"/>
    <sheet name="form" sheetId="6" r:id="rId4"/>
  </sheets>
  <functionGroups builtInGroupCount="17"/>
  <definedNames>
    <definedName name="_cellaCheckForm">form!$B$14</definedName>
    <definedName name="_cellaDataFine">form!$B$3</definedName>
    <definedName name="_cellaDataInizio">form!$B$2</definedName>
    <definedName name="_cellaForm">form!$B$14</definedName>
    <definedName name="_cellaIdRisorsa">form!$B$13</definedName>
    <definedName name="_cellaRisorsa">form!$B$1</definedName>
    <definedName name="_xlnm._FilterDatabase" localSheetId="2" hidden="1">ui!$B$2:$AG$13</definedName>
    <definedName name="_nomi">Tab.Risorse[Nome]</definedName>
    <definedName name="_primaCella">ui!$C$8</definedName>
    <definedName name="_primaRisorsa">ui!$B$9</definedName>
    <definedName name="_rngDays">ui!$C$8:$AG$8</definedName>
    <definedName name="_rngWeeks">ui!$C$6:$AG$7</definedName>
    <definedName name="_xlnm.Print_Area" localSheetId="2">ui!$B$3:$AG$101</definedName>
  </definedNames>
  <calcPr calcId="144525"/>
</workbook>
</file>

<file path=xl/calcChain.xml><?xml version="1.0" encoding="utf-8"?>
<calcChain xmlns="http://schemas.openxmlformats.org/spreadsheetml/2006/main">
  <c r="B13" i="6" l="1"/>
  <c r="B14" i="6" s="1"/>
  <c r="A3" i="1" l="1"/>
  <c r="A4" i="1"/>
  <c r="A5" i="1"/>
  <c r="A6" i="1"/>
  <c r="A7" i="1"/>
  <c r="A8" i="1"/>
  <c r="A9" i="1"/>
  <c r="A10" i="1"/>
  <c r="A11" i="1"/>
  <c r="A12" i="1"/>
  <c r="A13" i="1"/>
  <c r="A2" i="1"/>
</calcChain>
</file>

<file path=xl/sharedStrings.xml><?xml version="1.0" encoding="utf-8"?>
<sst xmlns="http://schemas.openxmlformats.org/spreadsheetml/2006/main" count="37" uniqueCount="29">
  <si>
    <t>Id</t>
  </si>
  <si>
    <t>Inizio</t>
  </si>
  <si>
    <t>Fine</t>
  </si>
  <si>
    <t>IdRisorsa</t>
  </si>
  <si>
    <t>Stato</t>
  </si>
  <si>
    <t xml:space="preserve"> </t>
  </si>
  <si>
    <t>Nome</t>
  </si>
  <si>
    <t>Year</t>
  </si>
  <si>
    <t>Week</t>
  </si>
  <si>
    <t>Free</t>
  </si>
  <si>
    <t>Booked</t>
  </si>
  <si>
    <t>In Use</t>
  </si>
  <si>
    <t>Not avaliable</t>
  </si>
  <si>
    <t>Equipments</t>
  </si>
  <si>
    <t>Today</t>
  </si>
  <si>
    <t>Generator 1</t>
  </si>
  <si>
    <t>Generator 2</t>
  </si>
  <si>
    <t>Generator 3</t>
  </si>
  <si>
    <t>Generator 4</t>
  </si>
  <si>
    <t>Generator 5</t>
  </si>
  <si>
    <t>IdEquipment</t>
  </si>
  <si>
    <t>Description</t>
  </si>
  <si>
    <t>Action Id</t>
  </si>
  <si>
    <t>Equipment*</t>
  </si>
  <si>
    <t>Start date*</t>
  </si>
  <si>
    <t>End date*</t>
  </si>
  <si>
    <t>* Mandatory fields</t>
  </si>
  <si>
    <t>CheckForm</t>
  </si>
  <si>
    <t>Booking type*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</si>
</sst>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W\K\ 00"/>
    <numFmt numFmtId="165" formatCode="dd\-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165" fontId="2" fillId="0" borderId="4" xfId="0" applyNumberFormat="1" applyFont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 vertical="center" wrapText="1"/>
    </xf>
    <xf numFmtId="0" fontId="0" fillId="0" borderId="8" xfId="0" applyFill="1" applyBorder="1" applyAlignment="1">
      <alignment horizontal="center"/>
    </xf>
    <xf numFmtId="0" fontId="4" fillId="2" borderId="1" xfId="0" applyFont="1" applyFill="1" applyBorder="1" applyAlignment="1">
      <alignment horizontal="right" vertical="center"/>
    </xf>
    <xf numFmtId="0" fontId="1" fillId="4" borderId="6" xfId="0" applyFont="1" applyFill="1" applyBorder="1" applyAlignment="1">
      <alignment horizontal="left" vertical="center"/>
    </xf>
    <xf numFmtId="0" fontId="0" fillId="0" borderId="6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0" xfId="0" applyFill="1" applyBorder="1"/>
    <xf numFmtId="0" fontId="0" fillId="0" borderId="9" xfId="0" applyFill="1" applyBorder="1" applyAlignment="1">
      <alignment horizontal="center" vertical="center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/>
    <xf numFmtId="0" fontId="0" fillId="0" borderId="2" xfId="0" applyFill="1" applyBorder="1" applyAlignment="1"/>
    <xf numFmtId="0" fontId="0" fillId="0" borderId="2" xfId="0" applyFill="1" applyBorder="1" applyAlignment="1">
      <alignment vertical="center"/>
    </xf>
    <xf numFmtId="0" fontId="0" fillId="0" borderId="3" xfId="0" applyFill="1" applyBorder="1" applyAlignment="1"/>
    <xf numFmtId="0" fontId="0" fillId="0" borderId="0" xfId="0" applyAlignment="1">
      <alignment horizontal="right"/>
    </xf>
    <xf numFmtId="0" fontId="0" fillId="0" borderId="15" xfId="0" applyBorder="1" applyAlignment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16" xfId="0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15" xfId="0" applyFont="1" applyBorder="1" applyAlignment="1">
      <alignment horizontal="left" vertical="center" wrapText="1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8" xfId="0" applyFill="1" applyBorder="1" applyAlignment="1">
      <alignment horizontal="center"/>
    </xf>
    <xf numFmtId="14" fontId="5" fillId="3" borderId="12" xfId="0" applyNumberFormat="1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left" vertical="center"/>
    </xf>
  </cellXfs>
  <cellStyles count="1">
    <cellStyle name="Normale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C00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C0000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69475</xdr:colOff>
      <xdr:row>1</xdr:row>
      <xdr:rowOff>0</xdr:rowOff>
    </xdr:from>
    <xdr:to>
      <xdr:col>71</xdr:col>
      <xdr:colOff>58860</xdr:colOff>
      <xdr:row>1</xdr:row>
      <xdr:rowOff>540000</xdr:rowOff>
    </xdr:to>
    <xdr:sp macro="[0]!NextWeek" textlink="">
      <xdr:nvSpPr>
        <xdr:cNvPr id="6" name="Rettangolo 5"/>
        <xdr:cNvSpPr/>
      </xdr:nvSpPr>
      <xdr:spPr>
        <a:xfrm>
          <a:off x="20833975" y="685800"/>
          <a:ext cx="1018085" cy="540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Week +1</a:t>
          </a:r>
        </a:p>
      </xdr:txBody>
    </xdr:sp>
    <xdr:clientData/>
  </xdr:twoCellAnchor>
  <xdr:twoCellAnchor>
    <xdr:from>
      <xdr:col>30</xdr:col>
      <xdr:colOff>31375</xdr:colOff>
      <xdr:row>1</xdr:row>
      <xdr:rowOff>19050</xdr:rowOff>
    </xdr:from>
    <xdr:to>
      <xdr:col>32</xdr:col>
      <xdr:colOff>344610</xdr:colOff>
      <xdr:row>1</xdr:row>
      <xdr:rowOff>343050</xdr:rowOff>
    </xdr:to>
    <xdr:sp macro="[0]!NextWeek" textlink="">
      <xdr:nvSpPr>
        <xdr:cNvPr id="8" name="Rettangolo arrotondato 7"/>
        <xdr:cNvSpPr/>
      </xdr:nvSpPr>
      <xdr:spPr>
        <a:xfrm>
          <a:off x="10994650" y="209550"/>
          <a:ext cx="1018085" cy="324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Week +1</a:t>
          </a:r>
        </a:p>
      </xdr:txBody>
    </xdr:sp>
    <xdr:clientData/>
  </xdr:twoCellAnchor>
  <xdr:twoCellAnchor>
    <xdr:from>
      <xdr:col>2</xdr:col>
      <xdr:colOff>28575</xdr:colOff>
      <xdr:row>1</xdr:row>
      <xdr:rowOff>19050</xdr:rowOff>
    </xdr:from>
    <xdr:to>
      <xdr:col>4</xdr:col>
      <xdr:colOff>341810</xdr:colOff>
      <xdr:row>1</xdr:row>
      <xdr:rowOff>343050</xdr:rowOff>
    </xdr:to>
    <xdr:sp macro="[0]!PreviousWeek" textlink="">
      <xdr:nvSpPr>
        <xdr:cNvPr id="9" name="Rettangolo arrotondato 8"/>
        <xdr:cNvSpPr/>
      </xdr:nvSpPr>
      <xdr:spPr>
        <a:xfrm>
          <a:off x="1123950" y="209550"/>
          <a:ext cx="1018085" cy="324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Week -1</a:t>
          </a:r>
        </a:p>
      </xdr:txBody>
    </xdr:sp>
    <xdr:clientData/>
  </xdr:twoCellAnchor>
  <xdr:twoCellAnchor>
    <xdr:from>
      <xdr:col>22</xdr:col>
      <xdr:colOff>164153</xdr:colOff>
      <xdr:row>1</xdr:row>
      <xdr:rowOff>19050</xdr:rowOff>
    </xdr:from>
    <xdr:to>
      <xdr:col>27</xdr:col>
      <xdr:colOff>17916</xdr:colOff>
      <xdr:row>1</xdr:row>
      <xdr:rowOff>343050</xdr:rowOff>
    </xdr:to>
    <xdr:sp macro="[0]!_xludf.Today" textlink="">
      <xdr:nvSpPr>
        <xdr:cNvPr id="10" name="Rettangolo arrotondato 9"/>
        <xdr:cNvSpPr/>
      </xdr:nvSpPr>
      <xdr:spPr>
        <a:xfrm>
          <a:off x="8308028" y="209550"/>
          <a:ext cx="1615888" cy="324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0">
              <a:solidFill>
                <a:sysClr val="windowText" lastClr="000000"/>
              </a:solidFill>
            </a:rPr>
            <a:t>Today</a:t>
          </a:r>
        </a:p>
      </xdr:txBody>
    </xdr:sp>
    <xdr:clientData/>
  </xdr:twoCellAnchor>
  <xdr:twoCellAnchor>
    <xdr:from>
      <xdr:col>10</xdr:col>
      <xdr:colOff>142875</xdr:colOff>
      <xdr:row>1</xdr:row>
      <xdr:rowOff>19050</xdr:rowOff>
    </xdr:from>
    <xdr:to>
      <xdr:col>14</xdr:col>
      <xdr:colOff>101175</xdr:colOff>
      <xdr:row>1</xdr:row>
      <xdr:rowOff>343050</xdr:rowOff>
    </xdr:to>
    <xdr:sp macro="[0]!SelezionaData" textlink="">
      <xdr:nvSpPr>
        <xdr:cNvPr id="7" name="Rettangolo arrotondato 6"/>
        <xdr:cNvSpPr/>
      </xdr:nvSpPr>
      <xdr:spPr>
        <a:xfrm>
          <a:off x="4057650" y="209550"/>
          <a:ext cx="1368000" cy="324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Go to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1647826</xdr:colOff>
      <xdr:row>1</xdr:row>
      <xdr:rowOff>19050</xdr:rowOff>
    </xdr:from>
    <xdr:to>
      <xdr:col>1</xdr:col>
      <xdr:colOff>1863826</xdr:colOff>
      <xdr:row>1</xdr:row>
      <xdr:rowOff>239348</xdr:rowOff>
    </xdr:to>
    <xdr:pic macro="[0]!Form_SelezionaDataInzio"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6026" y="333375"/>
          <a:ext cx="216000" cy="220298"/>
        </a:xfrm>
        <a:prstGeom prst="rect">
          <a:avLst/>
        </a:prstGeom>
      </xdr:spPr>
    </xdr:pic>
    <xdr:clientData/>
  </xdr:twoCellAnchor>
  <xdr:twoCellAnchor editAs="oneCell">
    <xdr:from>
      <xdr:col>1</xdr:col>
      <xdr:colOff>1647826</xdr:colOff>
      <xdr:row>2</xdr:row>
      <xdr:rowOff>28575</xdr:rowOff>
    </xdr:from>
    <xdr:to>
      <xdr:col>1</xdr:col>
      <xdr:colOff>1863826</xdr:colOff>
      <xdr:row>2</xdr:row>
      <xdr:rowOff>248873</xdr:rowOff>
    </xdr:to>
    <xdr:pic macro="[0]!Form_SelezionaDataFine"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6026" y="657225"/>
          <a:ext cx="216000" cy="220298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9</xdr:row>
      <xdr:rowOff>19051</xdr:rowOff>
    </xdr:from>
    <xdr:to>
      <xdr:col>1</xdr:col>
      <xdr:colOff>1876425</xdr:colOff>
      <xdr:row>10</xdr:row>
      <xdr:rowOff>12953</xdr:rowOff>
    </xdr:to>
    <xdr:pic macro="[0]!Form_Submit"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3975" y="2409826"/>
          <a:ext cx="1495425" cy="4701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.Risorse" displayName="Tab.Risorse" ref="A1:B6" totalsRowShown="0">
  <autoFilter ref="A1:B6"/>
  <tableColumns count="2">
    <tableColumn id="1" name="Id"/>
    <tableColumn id="2" name="No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.Dati" displayName="Tab.Dati" ref="A1:E13" totalsRowShown="0" headerRowDxfId="34" dataDxfId="33">
  <autoFilter ref="A1:E13"/>
  <tableColumns count="5">
    <tableColumn id="1" name="Id" dataDxfId="32">
      <calculatedColumnFormula>ROW()-1</calculatedColumnFormula>
    </tableColumn>
    <tableColumn id="6" name="IdRisorsa" dataDxfId="31"/>
    <tableColumn id="3" name="Inizio" dataDxfId="30"/>
    <tableColumn id="4" name="Fine" dataDxfId="29"/>
    <tableColumn id="7" name="Stato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isorse"/>
  <dimension ref="A1:B6"/>
  <sheetViews>
    <sheetView workbookViewId="0">
      <selection activeCell="D4" sqref="D4"/>
    </sheetView>
  </sheetViews>
  <sheetFormatPr defaultRowHeight="15" x14ac:dyDescent="0.25"/>
  <cols>
    <col min="2" max="2" width="19.42578125" customWidth="1"/>
  </cols>
  <sheetData>
    <row r="1" spans="1:2" x14ac:dyDescent="0.25">
      <c r="A1" t="s">
        <v>0</v>
      </c>
      <c r="B1" t="s">
        <v>6</v>
      </c>
    </row>
    <row r="2" spans="1:2" x14ac:dyDescent="0.25">
      <c r="A2">
        <v>1</v>
      </c>
      <c r="B2" t="s">
        <v>15</v>
      </c>
    </row>
    <row r="3" spans="1:2" x14ac:dyDescent="0.25">
      <c r="A3">
        <v>2</v>
      </c>
      <c r="B3" t="s">
        <v>16</v>
      </c>
    </row>
    <row r="4" spans="1:2" x14ac:dyDescent="0.25">
      <c r="A4">
        <v>3</v>
      </c>
      <c r="B4" t="s">
        <v>17</v>
      </c>
    </row>
    <row r="5" spans="1:2" x14ac:dyDescent="0.25">
      <c r="A5">
        <v>4</v>
      </c>
      <c r="B5" t="s">
        <v>18</v>
      </c>
    </row>
    <row r="6" spans="1:2" x14ac:dyDescent="0.25">
      <c r="A6">
        <v>5</v>
      </c>
      <c r="B6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ati"/>
  <dimension ref="A1:K13"/>
  <sheetViews>
    <sheetView workbookViewId="0"/>
  </sheetViews>
  <sheetFormatPr defaultRowHeight="15" x14ac:dyDescent="0.25"/>
  <cols>
    <col min="1" max="1" width="7.28515625" bestFit="1" customWidth="1"/>
    <col min="2" max="2" width="13.5703125" bestFit="1" customWidth="1"/>
    <col min="3" max="3" width="11.85546875" bestFit="1" customWidth="1"/>
    <col min="4" max="5" width="10.7109375" bestFit="1" customWidth="1"/>
    <col min="6" max="6" width="11.42578125" bestFit="1" customWidth="1"/>
    <col min="10" max="11" width="10.7109375" bestFit="1" customWidth="1"/>
  </cols>
  <sheetData>
    <row r="1" spans="1:11" x14ac:dyDescent="0.25">
      <c r="A1" s="3" t="s">
        <v>0</v>
      </c>
      <c r="B1" s="3" t="s">
        <v>3</v>
      </c>
      <c r="C1" s="3" t="s">
        <v>1</v>
      </c>
      <c r="D1" s="3" t="s">
        <v>2</v>
      </c>
      <c r="E1" s="3" t="s">
        <v>4</v>
      </c>
      <c r="I1" s="1"/>
      <c r="J1" s="1"/>
      <c r="K1" s="1"/>
    </row>
    <row r="2" spans="1:11" x14ac:dyDescent="0.25">
      <c r="A2" s="3">
        <f t="shared" ref="A2:A13" si="0">ROW()-1</f>
        <v>1</v>
      </c>
      <c r="B2" s="3">
        <v>1</v>
      </c>
      <c r="C2" s="4">
        <v>44475</v>
      </c>
      <c r="D2" s="4">
        <v>44489</v>
      </c>
      <c r="E2" s="5">
        <v>1</v>
      </c>
    </row>
    <row r="3" spans="1:11" x14ac:dyDescent="0.25">
      <c r="A3" s="6">
        <f t="shared" si="0"/>
        <v>2</v>
      </c>
      <c r="B3" s="3">
        <v>2</v>
      </c>
      <c r="C3" s="4">
        <v>44478</v>
      </c>
      <c r="D3" s="4">
        <v>44480</v>
      </c>
      <c r="E3" s="5">
        <v>1</v>
      </c>
    </row>
    <row r="4" spans="1:11" x14ac:dyDescent="0.25">
      <c r="A4" s="6">
        <f t="shared" si="0"/>
        <v>3</v>
      </c>
      <c r="B4" s="3">
        <v>3</v>
      </c>
      <c r="C4" s="4">
        <v>44486</v>
      </c>
      <c r="D4" s="4">
        <v>44486</v>
      </c>
      <c r="E4" s="5">
        <v>2</v>
      </c>
    </row>
    <row r="5" spans="1:11" x14ac:dyDescent="0.25">
      <c r="A5" s="6">
        <f t="shared" si="0"/>
        <v>4</v>
      </c>
      <c r="B5" s="3">
        <v>4</v>
      </c>
      <c r="C5" s="4">
        <v>44496</v>
      </c>
      <c r="D5" s="4">
        <v>44511</v>
      </c>
      <c r="E5" s="5">
        <v>2</v>
      </c>
    </row>
    <row r="6" spans="1:11" x14ac:dyDescent="0.25">
      <c r="A6" s="6">
        <f t="shared" si="0"/>
        <v>5</v>
      </c>
      <c r="B6" s="3">
        <v>5</v>
      </c>
      <c r="C6" s="4">
        <v>44478</v>
      </c>
      <c r="D6" s="4">
        <v>44493</v>
      </c>
      <c r="E6" s="5">
        <v>3</v>
      </c>
    </row>
    <row r="7" spans="1:11" x14ac:dyDescent="0.25">
      <c r="A7" s="6">
        <f t="shared" si="0"/>
        <v>6</v>
      </c>
      <c r="B7" s="3">
        <v>1</v>
      </c>
      <c r="C7" s="4">
        <v>44499</v>
      </c>
      <c r="D7" s="4">
        <v>44510</v>
      </c>
      <c r="E7" s="5">
        <v>2</v>
      </c>
    </row>
    <row r="8" spans="1:11" x14ac:dyDescent="0.25">
      <c r="A8" s="6">
        <f t="shared" si="0"/>
        <v>7</v>
      </c>
      <c r="B8" s="3">
        <v>2</v>
      </c>
      <c r="C8" s="4">
        <v>44484</v>
      </c>
      <c r="D8" s="4">
        <v>44487</v>
      </c>
      <c r="E8" s="5">
        <v>2</v>
      </c>
    </row>
    <row r="9" spans="1:11" x14ac:dyDescent="0.25">
      <c r="A9" s="6">
        <f t="shared" si="0"/>
        <v>8</v>
      </c>
      <c r="B9" s="3">
        <v>2</v>
      </c>
      <c r="C9" s="4">
        <v>44496</v>
      </c>
      <c r="D9" s="4">
        <v>44501</v>
      </c>
      <c r="E9" s="5">
        <v>1</v>
      </c>
    </row>
    <row r="10" spans="1:11" x14ac:dyDescent="0.25">
      <c r="A10" s="6">
        <f t="shared" si="0"/>
        <v>9</v>
      </c>
      <c r="B10" s="3">
        <v>5</v>
      </c>
      <c r="C10" s="4">
        <v>44473</v>
      </c>
      <c r="D10" s="4">
        <v>44476</v>
      </c>
      <c r="E10" s="5">
        <v>2</v>
      </c>
    </row>
    <row r="11" spans="1:11" x14ac:dyDescent="0.25">
      <c r="A11" s="6">
        <f t="shared" si="0"/>
        <v>10</v>
      </c>
      <c r="B11" s="3">
        <v>3</v>
      </c>
      <c r="C11" s="4">
        <v>44470</v>
      </c>
      <c r="D11" s="4">
        <v>44474</v>
      </c>
      <c r="E11" s="5">
        <v>2</v>
      </c>
    </row>
    <row r="12" spans="1:11" x14ac:dyDescent="0.25">
      <c r="A12" s="6">
        <f t="shared" si="0"/>
        <v>11</v>
      </c>
      <c r="B12" s="3">
        <v>4</v>
      </c>
      <c r="C12" s="4">
        <v>44482</v>
      </c>
      <c r="D12" s="4">
        <v>44487</v>
      </c>
      <c r="E12" s="5">
        <v>2</v>
      </c>
    </row>
    <row r="13" spans="1:11" x14ac:dyDescent="0.25">
      <c r="A13" s="6">
        <f t="shared" si="0"/>
        <v>12</v>
      </c>
      <c r="B13" s="3">
        <v>4</v>
      </c>
      <c r="C13" s="4">
        <v>44472</v>
      </c>
      <c r="D13" s="4">
        <v>44477</v>
      </c>
      <c r="E13" s="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ui">
    <pageSetUpPr fitToPage="1"/>
  </sheetPr>
  <dimension ref="A1:AH105"/>
  <sheetViews>
    <sheetView showGridLines="0" zoomScaleNormal="100" workbookViewId="0">
      <pane xSplit="2" ySplit="8" topLeftCell="C9" activePane="bottomRight" state="frozen"/>
      <selection pane="topRight" activeCell="C1" sqref="C1"/>
      <selection pane="bottomLeft" activeCell="A5" sqref="A5"/>
      <selection pane="bottomRight" activeCell="T2" sqref="T2"/>
    </sheetView>
  </sheetViews>
  <sheetFormatPr defaultColWidth="0" defaultRowHeight="15" zeroHeight="1" x14ac:dyDescent="0.25"/>
  <cols>
    <col min="1" max="1" width="2.7109375" customWidth="1"/>
    <col min="2" max="2" width="13.7109375" customWidth="1"/>
    <col min="3" max="33" width="5.28515625" customWidth="1"/>
    <col min="34" max="34" width="3.85546875" customWidth="1"/>
    <col min="35" max="16384" width="3.85546875" hidden="1"/>
  </cols>
  <sheetData>
    <row r="1" spans="2:33" x14ac:dyDescent="0.25">
      <c r="B1" s="11"/>
      <c r="C1" s="14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6"/>
    </row>
    <row r="2" spans="2:33" ht="28.5" customHeight="1" x14ac:dyDescent="0.25">
      <c r="B2" s="23"/>
      <c r="C2" s="34"/>
      <c r="D2" s="34"/>
      <c r="E2" s="35"/>
      <c r="F2" s="24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6"/>
      <c r="V2" s="26"/>
      <c r="W2" s="26"/>
      <c r="X2" s="25"/>
      <c r="Y2" s="25"/>
      <c r="Z2" s="25"/>
      <c r="AA2" s="25"/>
      <c r="AB2" s="25"/>
      <c r="AC2" s="25"/>
      <c r="AD2" s="27"/>
      <c r="AE2" s="36"/>
      <c r="AF2" s="34"/>
      <c r="AG2" s="34"/>
    </row>
    <row r="3" spans="2:33" ht="9.9499999999999993" customHeight="1" x14ac:dyDescent="0.25">
      <c r="B3" s="41"/>
      <c r="C3" s="14"/>
      <c r="D3" s="15"/>
      <c r="E3" s="1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5"/>
      <c r="AF3" s="15"/>
      <c r="AG3" s="16"/>
    </row>
    <row r="4" spans="2:33" x14ac:dyDescent="0.25">
      <c r="B4" s="41"/>
      <c r="C4" s="42" t="s">
        <v>14</v>
      </c>
      <c r="D4" s="43"/>
      <c r="E4" s="17"/>
      <c r="F4" s="18">
        <v>0</v>
      </c>
      <c r="G4" s="39" t="s">
        <v>9</v>
      </c>
      <c r="H4" s="39"/>
      <c r="I4" s="39"/>
      <c r="J4" s="40"/>
      <c r="K4" s="40"/>
      <c r="L4" s="40"/>
      <c r="M4" s="18">
        <v>1</v>
      </c>
      <c r="N4" s="39" t="s">
        <v>10</v>
      </c>
      <c r="O4" s="39"/>
      <c r="P4" s="39"/>
      <c r="Q4" s="40"/>
      <c r="R4" s="40"/>
      <c r="S4" s="40"/>
      <c r="T4" s="18">
        <v>2</v>
      </c>
      <c r="U4" s="39" t="s">
        <v>11</v>
      </c>
      <c r="V4" s="39"/>
      <c r="W4" s="39"/>
      <c r="X4" s="40"/>
      <c r="Y4" s="40"/>
      <c r="Z4" s="40"/>
      <c r="AA4" s="18">
        <v>3</v>
      </c>
      <c r="AB4" s="39" t="s">
        <v>12</v>
      </c>
      <c r="AC4" s="39"/>
      <c r="AD4" s="39"/>
      <c r="AE4" s="17"/>
      <c r="AF4" s="17"/>
      <c r="AG4" s="19"/>
    </row>
    <row r="5" spans="2:33" ht="9.9499999999999993" customHeight="1" x14ac:dyDescent="0.25">
      <c r="B5" s="41"/>
      <c r="C5" s="20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2"/>
    </row>
    <row r="6" spans="2:33" x14ac:dyDescent="0.25">
      <c r="B6" s="12" t="s">
        <v>7</v>
      </c>
      <c r="C6" s="38">
        <v>2021</v>
      </c>
      <c r="D6" s="38"/>
      <c r="E6" s="38"/>
      <c r="F6" s="38">
        <v>2021</v>
      </c>
      <c r="G6" s="38"/>
      <c r="H6" s="38"/>
      <c r="I6" s="38"/>
      <c r="J6" s="38"/>
      <c r="K6" s="38"/>
      <c r="L6" s="38"/>
      <c r="M6" s="38">
        <v>2021</v>
      </c>
      <c r="N6" s="38"/>
      <c r="O6" s="38"/>
      <c r="P6" s="38"/>
      <c r="Q6" s="38"/>
      <c r="R6" s="38"/>
      <c r="S6" s="38"/>
      <c r="T6" s="38">
        <v>2021</v>
      </c>
      <c r="U6" s="38"/>
      <c r="V6" s="38"/>
      <c r="W6" s="38"/>
      <c r="X6" s="38"/>
      <c r="Y6" s="38"/>
      <c r="Z6" s="38"/>
      <c r="AA6" s="38">
        <v>2021</v>
      </c>
      <c r="AB6" s="38"/>
      <c r="AC6" s="38"/>
      <c r="AD6" s="38"/>
      <c r="AE6" s="38"/>
      <c r="AF6" s="38"/>
      <c r="AG6" s="38"/>
    </row>
    <row r="7" spans="2:33" x14ac:dyDescent="0.25">
      <c r="B7" s="12" t="s">
        <v>8</v>
      </c>
      <c r="C7" s="37">
        <v>43</v>
      </c>
      <c r="D7" s="37"/>
      <c r="E7" s="37"/>
      <c r="F7" s="37">
        <v>44</v>
      </c>
      <c r="G7" s="37"/>
      <c r="H7" s="37"/>
      <c r="I7" s="37"/>
      <c r="J7" s="37"/>
      <c r="K7" s="37"/>
      <c r="L7" s="37"/>
      <c r="M7" s="37">
        <v>45</v>
      </c>
      <c r="N7" s="37"/>
      <c r="O7" s="37"/>
      <c r="P7" s="37"/>
      <c r="Q7" s="37"/>
      <c r="R7" s="37"/>
      <c r="S7" s="37"/>
      <c r="T7" s="37">
        <v>46</v>
      </c>
      <c r="U7" s="37"/>
      <c r="V7" s="37"/>
      <c r="W7" s="37"/>
      <c r="X7" s="37"/>
      <c r="Y7" s="37"/>
      <c r="Z7" s="37"/>
      <c r="AA7" s="37">
        <v>47</v>
      </c>
      <c r="AB7" s="37"/>
      <c r="AC7" s="37"/>
      <c r="AD7" s="37"/>
      <c r="AE7" s="37"/>
      <c r="AF7" s="37"/>
      <c r="AG7" s="37"/>
    </row>
    <row r="8" spans="2:33" x14ac:dyDescent="0.25">
      <c r="B8" s="13" t="s">
        <v>13</v>
      </c>
      <c r="C8" s="2">
        <v>44498</v>
      </c>
      <c r="D8" s="2">
        <v>44499</v>
      </c>
      <c r="E8" s="2">
        <v>44500</v>
      </c>
      <c r="F8" s="2">
        <v>44501</v>
      </c>
      <c r="G8" s="2">
        <v>44502</v>
      </c>
      <c r="H8" s="2">
        <v>44503</v>
      </c>
      <c r="I8" s="2">
        <v>44504</v>
      </c>
      <c r="J8" s="2">
        <v>44505</v>
      </c>
      <c r="K8" s="2">
        <v>44506</v>
      </c>
      <c r="L8" s="2">
        <v>44507</v>
      </c>
      <c r="M8" s="2">
        <v>44508</v>
      </c>
      <c r="N8" s="2">
        <v>44509</v>
      </c>
      <c r="O8" s="2">
        <v>44510</v>
      </c>
      <c r="P8" s="2">
        <v>44511</v>
      </c>
      <c r="Q8" s="2">
        <v>44512</v>
      </c>
      <c r="R8" s="2">
        <v>44513</v>
      </c>
      <c r="S8" s="2">
        <v>44514</v>
      </c>
      <c r="T8" s="2">
        <v>44515</v>
      </c>
      <c r="U8" s="2">
        <v>44516</v>
      </c>
      <c r="V8" s="2">
        <v>44517</v>
      </c>
      <c r="W8" s="2">
        <v>44518</v>
      </c>
      <c r="X8" s="2">
        <v>44519</v>
      </c>
      <c r="Y8" s="2">
        <v>44520</v>
      </c>
      <c r="Z8" s="2">
        <v>44521</v>
      </c>
      <c r="AA8" s="2">
        <v>44522</v>
      </c>
      <c r="AB8" s="2">
        <v>44523</v>
      </c>
      <c r="AC8" s="2">
        <v>44524</v>
      </c>
      <c r="AD8" s="2">
        <v>44525</v>
      </c>
      <c r="AE8" s="2">
        <v>44526</v>
      </c>
      <c r="AF8" s="2">
        <v>44527</v>
      </c>
      <c r="AG8" s="2">
        <v>44528</v>
      </c>
    </row>
    <row r="9" spans="2:33" s="7" customFormat="1" x14ac:dyDescent="0.25">
      <c r="B9" s="10" t="s">
        <v>15</v>
      </c>
      <c r="C9" s="8">
        <v>0</v>
      </c>
      <c r="D9" s="8">
        <v>2</v>
      </c>
      <c r="E9" s="8">
        <v>2</v>
      </c>
      <c r="F9" s="8">
        <v>2</v>
      </c>
      <c r="G9" s="8">
        <v>2</v>
      </c>
      <c r="H9" s="8">
        <v>2</v>
      </c>
      <c r="I9" s="8">
        <v>2</v>
      </c>
      <c r="J9" s="9">
        <v>2</v>
      </c>
      <c r="K9" s="9">
        <v>2</v>
      </c>
      <c r="L9" s="9">
        <v>2</v>
      </c>
      <c r="M9" s="9">
        <v>2</v>
      </c>
      <c r="N9" s="9">
        <v>2</v>
      </c>
      <c r="O9" s="9">
        <v>2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</row>
    <row r="10" spans="2:33" s="7" customFormat="1" x14ac:dyDescent="0.25">
      <c r="B10" s="10" t="s">
        <v>16</v>
      </c>
      <c r="C10" s="8">
        <v>1</v>
      </c>
      <c r="D10" s="8">
        <v>1</v>
      </c>
      <c r="E10" s="8">
        <v>1</v>
      </c>
      <c r="F10" s="8">
        <v>1</v>
      </c>
      <c r="G10" s="8">
        <v>0</v>
      </c>
      <c r="H10" s="8">
        <v>0</v>
      </c>
      <c r="I10" s="8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</row>
    <row r="11" spans="2:33" s="7" customFormat="1" x14ac:dyDescent="0.25">
      <c r="B11" s="10" t="s">
        <v>17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</row>
    <row r="12" spans="2:33" s="7" customFormat="1" x14ac:dyDescent="0.25">
      <c r="B12" s="10" t="s">
        <v>18</v>
      </c>
      <c r="C12" s="8">
        <v>2</v>
      </c>
      <c r="D12" s="8">
        <v>2</v>
      </c>
      <c r="E12" s="8">
        <v>2</v>
      </c>
      <c r="F12" s="8">
        <v>2</v>
      </c>
      <c r="G12" s="8">
        <v>2</v>
      </c>
      <c r="H12" s="8">
        <v>2</v>
      </c>
      <c r="I12" s="8">
        <v>2</v>
      </c>
      <c r="J12" s="9">
        <v>2</v>
      </c>
      <c r="K12" s="9">
        <v>2</v>
      </c>
      <c r="L12" s="9">
        <v>2</v>
      </c>
      <c r="M12" s="9">
        <v>2</v>
      </c>
      <c r="N12" s="9">
        <v>2</v>
      </c>
      <c r="O12" s="9">
        <v>2</v>
      </c>
      <c r="P12" s="9">
        <v>2</v>
      </c>
      <c r="Q12" s="9">
        <v>0</v>
      </c>
      <c r="R12" s="9">
        <v>0</v>
      </c>
      <c r="S12" s="9">
        <v>0</v>
      </c>
      <c r="T12" s="9">
        <v>0</v>
      </c>
      <c r="U12" s="9">
        <v>0</v>
      </c>
      <c r="V12" s="9">
        <v>0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0</v>
      </c>
      <c r="AD12" s="9">
        <v>0</v>
      </c>
      <c r="AE12" s="9">
        <v>0</v>
      </c>
      <c r="AF12" s="9">
        <v>0</v>
      </c>
      <c r="AG12" s="9">
        <v>0</v>
      </c>
    </row>
    <row r="13" spans="2:33" s="7" customFormat="1" x14ac:dyDescent="0.25">
      <c r="B13" s="10" t="s">
        <v>19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9">
        <v>0</v>
      </c>
      <c r="AG13" s="9">
        <v>0</v>
      </c>
    </row>
    <row r="14" spans="2:33" s="7" customFormat="1" x14ac:dyDescent="0.25">
      <c r="B14" s="10"/>
      <c r="C14" s="8"/>
      <c r="D14" s="8"/>
      <c r="E14" s="8"/>
      <c r="F14" s="8"/>
      <c r="G14" s="8"/>
      <c r="H14" s="8"/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2:33" s="7" customFormat="1" x14ac:dyDescent="0.25">
      <c r="B15" s="10"/>
      <c r="C15" s="8"/>
      <c r="D15" s="8"/>
      <c r="E15" s="8"/>
      <c r="F15" s="8"/>
      <c r="G15" s="8"/>
      <c r="H15" s="8"/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2:33" s="7" customFormat="1" x14ac:dyDescent="0.25">
      <c r="B16" s="10"/>
      <c r="C16" s="8"/>
      <c r="D16" s="8"/>
      <c r="E16" s="8"/>
      <c r="F16" s="8"/>
      <c r="G16" s="8"/>
      <c r="H16" s="8"/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2:33" s="7" customFormat="1" x14ac:dyDescent="0.25">
      <c r="B17" s="10"/>
      <c r="C17" s="8"/>
      <c r="D17" s="8"/>
      <c r="E17" s="8"/>
      <c r="F17" s="8"/>
      <c r="G17" s="8"/>
      <c r="H17" s="8"/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2:33" s="7" customFormat="1" x14ac:dyDescent="0.25">
      <c r="B18" s="10"/>
      <c r="C18" s="8"/>
      <c r="D18" s="8"/>
      <c r="E18" s="8"/>
      <c r="F18" s="8"/>
      <c r="G18" s="8"/>
      <c r="H18" s="8"/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2:33" s="7" customFormat="1" x14ac:dyDescent="0.25">
      <c r="B19" s="10"/>
      <c r="C19" s="8"/>
      <c r="D19" s="8"/>
      <c r="E19" s="8"/>
      <c r="F19" s="8"/>
      <c r="G19" s="8"/>
      <c r="H19" s="8"/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2:33" s="7" customFormat="1" x14ac:dyDescent="0.25">
      <c r="B20" s="10"/>
      <c r="C20" s="8"/>
      <c r="D20" s="8"/>
      <c r="E20" s="8"/>
      <c r="F20" s="8"/>
      <c r="G20" s="8"/>
      <c r="H20" s="8"/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2:33" s="7" customFormat="1" x14ac:dyDescent="0.25">
      <c r="B21" s="10"/>
      <c r="C21" s="8"/>
      <c r="D21" s="8"/>
      <c r="E21" s="8"/>
      <c r="F21" s="8"/>
      <c r="G21" s="8"/>
      <c r="H21" s="8"/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2:33" s="7" customFormat="1" x14ac:dyDescent="0.25">
      <c r="B22" s="10"/>
      <c r="C22" s="8"/>
      <c r="D22" s="8"/>
      <c r="E22" s="8"/>
      <c r="F22" s="8"/>
      <c r="G22" s="8"/>
      <c r="H22" s="8"/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2:33" s="7" customFormat="1" x14ac:dyDescent="0.25">
      <c r="B23" s="10"/>
      <c r="C23" s="8"/>
      <c r="D23" s="8"/>
      <c r="E23" s="8"/>
      <c r="F23" s="8"/>
      <c r="G23" s="8"/>
      <c r="H23" s="8"/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 t="s">
        <v>5</v>
      </c>
      <c r="AA23" s="9"/>
      <c r="AB23" s="9"/>
      <c r="AC23" s="9"/>
      <c r="AD23" s="9"/>
      <c r="AE23" s="9"/>
      <c r="AF23" s="9"/>
      <c r="AG23" s="9"/>
    </row>
    <row r="24" spans="2:33" s="7" customFormat="1" x14ac:dyDescent="0.25">
      <c r="B24" s="10"/>
      <c r="C24" s="8"/>
      <c r="D24" s="8"/>
      <c r="E24" s="8"/>
      <c r="F24" s="8"/>
      <c r="G24" s="8"/>
      <c r="H24" s="8"/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2:33" s="7" customFormat="1" x14ac:dyDescent="0.25">
      <c r="B25" s="10"/>
      <c r="C25" s="8"/>
      <c r="D25" s="8"/>
      <c r="E25" s="8"/>
      <c r="F25" s="8"/>
      <c r="G25" s="8"/>
      <c r="H25" s="8"/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2:33" s="7" customFormat="1" x14ac:dyDescent="0.25">
      <c r="B26" s="10"/>
      <c r="C26" s="8"/>
      <c r="D26" s="8"/>
      <c r="E26" s="8"/>
      <c r="F26" s="8"/>
      <c r="G26" s="8"/>
      <c r="H26" s="8"/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2:33" s="7" customFormat="1" x14ac:dyDescent="0.25">
      <c r="B27" s="10"/>
      <c r="C27" s="8"/>
      <c r="D27" s="8"/>
      <c r="E27" s="8"/>
      <c r="F27" s="8"/>
      <c r="G27" s="8"/>
      <c r="H27" s="8"/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2:33" s="7" customFormat="1" x14ac:dyDescent="0.25">
      <c r="B28" s="10"/>
      <c r="C28" s="8"/>
      <c r="D28" s="8"/>
      <c r="E28" s="8"/>
      <c r="F28" s="8"/>
      <c r="G28" s="8"/>
      <c r="H28" s="8"/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2:33" s="7" customFormat="1" x14ac:dyDescent="0.25">
      <c r="B29" s="10"/>
      <c r="C29" s="8"/>
      <c r="D29" s="8"/>
      <c r="E29" s="8"/>
      <c r="F29" s="8"/>
      <c r="G29" s="8"/>
      <c r="H29" s="8"/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2:33" s="7" customFormat="1" x14ac:dyDescent="0.25">
      <c r="B30" s="10"/>
      <c r="C30" s="8"/>
      <c r="D30" s="8"/>
      <c r="E30" s="8"/>
      <c r="F30" s="8"/>
      <c r="G30" s="8"/>
      <c r="H30" s="8"/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2:33" s="7" customFormat="1" x14ac:dyDescent="0.25">
      <c r="B31" s="10"/>
      <c r="C31" s="8"/>
      <c r="D31" s="8"/>
      <c r="E31" s="8"/>
      <c r="F31" s="8"/>
      <c r="G31" s="8"/>
      <c r="H31" s="8"/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2:33" s="7" customFormat="1" x14ac:dyDescent="0.25">
      <c r="B32" s="10"/>
      <c r="C32" s="8"/>
      <c r="D32" s="8"/>
      <c r="E32" s="8"/>
      <c r="F32" s="8"/>
      <c r="G32" s="8"/>
      <c r="H32" s="8"/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2:33" s="7" customFormat="1" x14ac:dyDescent="0.25">
      <c r="B33" s="10"/>
      <c r="C33" s="8"/>
      <c r="D33" s="8"/>
      <c r="E33" s="8"/>
      <c r="F33" s="8"/>
      <c r="G33" s="8"/>
      <c r="H33" s="8"/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2:33" s="7" customFormat="1" x14ac:dyDescent="0.25">
      <c r="B34" s="10"/>
      <c r="C34" s="8"/>
      <c r="D34" s="8"/>
      <c r="E34" s="8"/>
      <c r="F34" s="8"/>
      <c r="G34" s="8"/>
      <c r="H34" s="8"/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2:33" s="7" customFormat="1" x14ac:dyDescent="0.25">
      <c r="B35" s="10"/>
      <c r="C35" s="8"/>
      <c r="D35" s="8"/>
      <c r="E35" s="8"/>
      <c r="F35" s="8"/>
      <c r="G35" s="8"/>
      <c r="H35" s="8"/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2:33" s="7" customFormat="1" x14ac:dyDescent="0.25">
      <c r="B36" s="10"/>
      <c r="C36" s="8"/>
      <c r="D36" s="8"/>
      <c r="E36" s="8"/>
      <c r="F36" s="8"/>
      <c r="G36" s="8"/>
      <c r="H36" s="8"/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2:33" s="7" customFormat="1" x14ac:dyDescent="0.25">
      <c r="B37" s="10"/>
      <c r="C37" s="8"/>
      <c r="D37" s="8"/>
      <c r="E37" s="8"/>
      <c r="F37" s="8"/>
      <c r="G37" s="8"/>
      <c r="H37" s="8"/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2:33" s="7" customFormat="1" x14ac:dyDescent="0.25">
      <c r="B38" s="10"/>
      <c r="C38" s="8"/>
      <c r="D38" s="8"/>
      <c r="E38" s="8"/>
      <c r="F38" s="8"/>
      <c r="G38" s="8"/>
      <c r="H38" s="8"/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2:33" s="7" customFormat="1" x14ac:dyDescent="0.25">
      <c r="B39" s="10"/>
      <c r="C39" s="8"/>
      <c r="D39" s="8"/>
      <c r="E39" s="8"/>
      <c r="F39" s="8"/>
      <c r="G39" s="8"/>
      <c r="H39" s="8"/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2:33" s="7" customFormat="1" x14ac:dyDescent="0.25">
      <c r="B40" s="10"/>
      <c r="C40" s="8"/>
      <c r="D40" s="8"/>
      <c r="E40" s="8"/>
      <c r="F40" s="8"/>
      <c r="G40" s="8"/>
      <c r="H40" s="8"/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2:33" s="7" customFormat="1" x14ac:dyDescent="0.25">
      <c r="B41" s="10"/>
      <c r="C41" s="8"/>
      <c r="D41" s="8"/>
      <c r="E41" s="8"/>
      <c r="F41" s="8"/>
      <c r="G41" s="8"/>
      <c r="H41" s="8"/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2:33" s="7" customFormat="1" x14ac:dyDescent="0.25">
      <c r="B42" s="10"/>
      <c r="C42" s="8"/>
      <c r="D42" s="8"/>
      <c r="E42" s="8"/>
      <c r="F42" s="8"/>
      <c r="G42" s="8"/>
      <c r="H42" s="8"/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2:33" s="7" customFormat="1" x14ac:dyDescent="0.25">
      <c r="B43" s="10"/>
      <c r="C43" s="8"/>
      <c r="D43" s="8"/>
      <c r="E43" s="8"/>
      <c r="F43" s="8"/>
      <c r="G43" s="8"/>
      <c r="H43" s="8"/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2:33" s="7" customFormat="1" x14ac:dyDescent="0.25">
      <c r="B44" s="10"/>
      <c r="C44" s="8"/>
      <c r="D44" s="8"/>
      <c r="E44" s="8"/>
      <c r="F44" s="8"/>
      <c r="G44" s="8"/>
      <c r="H44" s="8"/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2:33" s="7" customFormat="1" x14ac:dyDescent="0.25">
      <c r="B45" s="10"/>
      <c r="C45" s="8"/>
      <c r="D45" s="8"/>
      <c r="E45" s="8"/>
      <c r="F45" s="8"/>
      <c r="G45" s="8"/>
      <c r="H45" s="8"/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2:33" s="7" customFormat="1" x14ac:dyDescent="0.25">
      <c r="B46" s="10"/>
      <c r="C46" s="8"/>
      <c r="D46" s="8"/>
      <c r="E46" s="8"/>
      <c r="F46" s="8"/>
      <c r="G46" s="8"/>
      <c r="H46" s="8"/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2:33" s="7" customFormat="1" x14ac:dyDescent="0.25">
      <c r="B47" s="10"/>
      <c r="C47" s="8"/>
      <c r="D47" s="8"/>
      <c r="E47" s="8"/>
      <c r="F47" s="8"/>
      <c r="G47" s="8"/>
      <c r="H47" s="8"/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2:33" s="7" customFormat="1" x14ac:dyDescent="0.25">
      <c r="B48" s="10"/>
      <c r="C48" s="8"/>
      <c r="D48" s="8"/>
      <c r="E48" s="8"/>
      <c r="F48" s="8"/>
      <c r="G48" s="8"/>
      <c r="H48" s="8"/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2:33" s="7" customFormat="1" x14ac:dyDescent="0.25">
      <c r="B49" s="10"/>
      <c r="C49" s="8"/>
      <c r="D49" s="8"/>
      <c r="E49" s="8"/>
      <c r="F49" s="8"/>
      <c r="G49" s="8"/>
      <c r="H49" s="8"/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2:33" s="7" customFormat="1" x14ac:dyDescent="0.25">
      <c r="B50" s="10"/>
      <c r="C50" s="8"/>
      <c r="D50" s="8"/>
      <c r="E50" s="8"/>
      <c r="F50" s="8"/>
      <c r="G50" s="8"/>
      <c r="H50" s="8"/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2:33" s="7" customFormat="1" x14ac:dyDescent="0.25">
      <c r="B51" s="10"/>
      <c r="C51" s="8"/>
      <c r="D51" s="8"/>
      <c r="E51" s="8"/>
      <c r="F51" s="8"/>
      <c r="G51" s="8"/>
      <c r="H51" s="8"/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2:33" s="7" customFormat="1" x14ac:dyDescent="0.25">
      <c r="B52" s="10"/>
      <c r="C52" s="8"/>
      <c r="D52" s="8"/>
      <c r="E52" s="8"/>
      <c r="F52" s="8"/>
      <c r="G52" s="8"/>
      <c r="H52" s="8"/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2:33" s="7" customFormat="1" x14ac:dyDescent="0.25">
      <c r="B53" s="10"/>
      <c r="C53" s="8"/>
      <c r="D53" s="8"/>
      <c r="E53" s="8"/>
      <c r="F53" s="8"/>
      <c r="G53" s="8"/>
      <c r="H53" s="8"/>
      <c r="I53" s="8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2:33" s="7" customFormat="1" x14ac:dyDescent="0.25">
      <c r="B54" s="10"/>
      <c r="C54" s="8"/>
      <c r="D54" s="8"/>
      <c r="E54" s="8"/>
      <c r="F54" s="8"/>
      <c r="G54" s="8"/>
      <c r="H54" s="8"/>
      <c r="I54" s="8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2:33" s="7" customFormat="1" x14ac:dyDescent="0.25">
      <c r="B55" s="10"/>
      <c r="C55" s="8"/>
      <c r="D55" s="8"/>
      <c r="E55" s="8"/>
      <c r="F55" s="8"/>
      <c r="G55" s="8"/>
      <c r="H55" s="8"/>
      <c r="I55" s="8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2:33" s="7" customFormat="1" x14ac:dyDescent="0.25">
      <c r="B56" s="10"/>
      <c r="C56" s="8"/>
      <c r="D56" s="8"/>
      <c r="E56" s="8"/>
      <c r="F56" s="8"/>
      <c r="G56" s="8"/>
      <c r="H56" s="8"/>
      <c r="I56" s="8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2:33" s="7" customFormat="1" x14ac:dyDescent="0.25">
      <c r="B57" s="10"/>
      <c r="C57" s="8"/>
      <c r="D57" s="8"/>
      <c r="E57" s="8"/>
      <c r="F57" s="8"/>
      <c r="G57" s="8"/>
      <c r="H57" s="8"/>
      <c r="I57" s="8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2:33" s="7" customFormat="1" x14ac:dyDescent="0.25">
      <c r="B58" s="10"/>
      <c r="C58" s="8"/>
      <c r="D58" s="8"/>
      <c r="E58" s="8"/>
      <c r="F58" s="8"/>
      <c r="G58" s="8"/>
      <c r="H58" s="8"/>
      <c r="I58" s="8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</row>
    <row r="59" spans="2:33" s="7" customFormat="1" x14ac:dyDescent="0.25">
      <c r="B59" s="10"/>
      <c r="C59" s="8"/>
      <c r="D59" s="8"/>
      <c r="E59" s="8"/>
      <c r="F59" s="8"/>
      <c r="G59" s="8"/>
      <c r="H59" s="8"/>
      <c r="I59" s="8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2:33" s="7" customFormat="1" x14ac:dyDescent="0.25">
      <c r="B60" s="10"/>
      <c r="C60" s="8"/>
      <c r="D60" s="8"/>
      <c r="E60" s="8"/>
      <c r="F60" s="8"/>
      <c r="G60" s="8"/>
      <c r="H60" s="8"/>
      <c r="I60" s="8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2:33" s="7" customFormat="1" x14ac:dyDescent="0.25">
      <c r="B61" s="10"/>
      <c r="C61" s="8"/>
      <c r="D61" s="8"/>
      <c r="E61" s="8"/>
      <c r="F61" s="8"/>
      <c r="G61" s="8"/>
      <c r="H61" s="8"/>
      <c r="I61" s="8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2:33" s="7" customFormat="1" x14ac:dyDescent="0.25">
      <c r="B62" s="10"/>
      <c r="C62" s="8"/>
      <c r="D62" s="8"/>
      <c r="E62" s="8"/>
      <c r="F62" s="8"/>
      <c r="G62" s="8"/>
      <c r="H62" s="8"/>
      <c r="I62" s="8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2:33" s="7" customFormat="1" x14ac:dyDescent="0.25">
      <c r="B63" s="10"/>
      <c r="C63" s="8"/>
      <c r="D63" s="8"/>
      <c r="E63" s="8"/>
      <c r="F63" s="8"/>
      <c r="G63" s="8"/>
      <c r="H63" s="8"/>
      <c r="I63" s="8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2:33" s="7" customFormat="1" x14ac:dyDescent="0.25">
      <c r="B64" s="10"/>
      <c r="C64" s="8"/>
      <c r="D64" s="8"/>
      <c r="E64" s="8"/>
      <c r="F64" s="8"/>
      <c r="G64" s="8"/>
      <c r="H64" s="8"/>
      <c r="I64" s="8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2:33" s="7" customFormat="1" x14ac:dyDescent="0.25">
      <c r="B65" s="10"/>
      <c r="C65" s="8"/>
      <c r="D65" s="8"/>
      <c r="E65" s="8"/>
      <c r="F65" s="8"/>
      <c r="G65" s="8"/>
      <c r="H65" s="8"/>
      <c r="I65" s="8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2:33" s="7" customFormat="1" x14ac:dyDescent="0.25">
      <c r="B66" s="10"/>
      <c r="C66" s="8"/>
      <c r="D66" s="8"/>
      <c r="E66" s="8"/>
      <c r="F66" s="8"/>
      <c r="G66" s="8"/>
      <c r="H66" s="8"/>
      <c r="I66" s="8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2:33" s="7" customFormat="1" x14ac:dyDescent="0.25">
      <c r="B67" s="10"/>
      <c r="C67" s="8"/>
      <c r="D67" s="8"/>
      <c r="E67" s="8"/>
      <c r="F67" s="8"/>
      <c r="G67" s="8"/>
      <c r="H67" s="8"/>
      <c r="I67" s="8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2:33" s="7" customFormat="1" x14ac:dyDescent="0.25">
      <c r="B68" s="10"/>
      <c r="C68" s="8"/>
      <c r="D68" s="8"/>
      <c r="E68" s="8"/>
      <c r="F68" s="8"/>
      <c r="G68" s="8"/>
      <c r="H68" s="8"/>
      <c r="I68" s="8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2:33" s="7" customFormat="1" x14ac:dyDescent="0.25">
      <c r="B69" s="10"/>
      <c r="C69" s="8"/>
      <c r="D69" s="8"/>
      <c r="E69" s="8"/>
      <c r="F69" s="8"/>
      <c r="G69" s="8"/>
      <c r="H69" s="8"/>
      <c r="I69" s="8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2:33" s="7" customFormat="1" x14ac:dyDescent="0.25">
      <c r="B70" s="10"/>
      <c r="C70" s="8"/>
      <c r="D70" s="8"/>
      <c r="E70" s="8"/>
      <c r="F70" s="8"/>
      <c r="G70" s="8"/>
      <c r="H70" s="8"/>
      <c r="I70" s="8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2:33" s="7" customFormat="1" x14ac:dyDescent="0.25">
      <c r="B71" s="10"/>
      <c r="C71" s="8"/>
      <c r="D71" s="8"/>
      <c r="E71" s="8"/>
      <c r="F71" s="8"/>
      <c r="G71" s="8"/>
      <c r="H71" s="8"/>
      <c r="I71" s="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2:33" s="7" customFormat="1" x14ac:dyDescent="0.25">
      <c r="B72" s="10"/>
      <c r="C72" s="8"/>
      <c r="D72" s="8"/>
      <c r="E72" s="8"/>
      <c r="F72" s="8"/>
      <c r="G72" s="8"/>
      <c r="H72" s="8"/>
      <c r="I72" s="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2:33" s="7" customFormat="1" x14ac:dyDescent="0.25">
      <c r="B73" s="10"/>
      <c r="C73" s="8"/>
      <c r="D73" s="8"/>
      <c r="E73" s="8"/>
      <c r="F73" s="8"/>
      <c r="G73" s="8"/>
      <c r="H73" s="8"/>
      <c r="I73" s="8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2:33" s="7" customFormat="1" x14ac:dyDescent="0.25">
      <c r="B74" s="10"/>
      <c r="C74" s="8"/>
      <c r="D74" s="8"/>
      <c r="E74" s="8"/>
      <c r="F74" s="8"/>
      <c r="G74" s="8"/>
      <c r="H74" s="8"/>
      <c r="I74" s="8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2:33" s="7" customFormat="1" x14ac:dyDescent="0.25">
      <c r="B75" s="10"/>
      <c r="C75" s="8"/>
      <c r="D75" s="8"/>
      <c r="E75" s="8"/>
      <c r="F75" s="8"/>
      <c r="G75" s="8"/>
      <c r="H75" s="8"/>
      <c r="I75" s="8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2:33" s="7" customFormat="1" x14ac:dyDescent="0.25">
      <c r="B76" s="10"/>
      <c r="C76" s="8"/>
      <c r="D76" s="8"/>
      <c r="E76" s="8"/>
      <c r="F76" s="8"/>
      <c r="G76" s="8"/>
      <c r="H76" s="8"/>
      <c r="I76" s="8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2:33" s="7" customFormat="1" x14ac:dyDescent="0.25">
      <c r="B77" s="10"/>
      <c r="C77" s="8"/>
      <c r="D77" s="8"/>
      <c r="E77" s="8"/>
      <c r="F77" s="8"/>
      <c r="G77" s="8"/>
      <c r="H77" s="8"/>
      <c r="I77" s="8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2:33" s="7" customFormat="1" x14ac:dyDescent="0.25">
      <c r="B78" s="10"/>
      <c r="C78" s="8"/>
      <c r="D78" s="8"/>
      <c r="E78" s="8"/>
      <c r="F78" s="8"/>
      <c r="G78" s="8"/>
      <c r="H78" s="8"/>
      <c r="I78" s="8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2:33" s="7" customFormat="1" x14ac:dyDescent="0.25">
      <c r="B79" s="10"/>
      <c r="C79" s="8"/>
      <c r="D79" s="8"/>
      <c r="E79" s="8"/>
      <c r="F79" s="8"/>
      <c r="G79" s="8"/>
      <c r="H79" s="8"/>
      <c r="I79" s="8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2:33" s="7" customFormat="1" x14ac:dyDescent="0.25">
      <c r="B80" s="10"/>
      <c r="C80" s="8"/>
      <c r="D80" s="8"/>
      <c r="E80" s="8"/>
      <c r="F80" s="8"/>
      <c r="G80" s="8"/>
      <c r="H80" s="8"/>
      <c r="I80" s="8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2:33" s="7" customFormat="1" x14ac:dyDescent="0.25">
      <c r="B81" s="10"/>
      <c r="C81" s="8"/>
      <c r="D81" s="8"/>
      <c r="E81" s="8"/>
      <c r="F81" s="8"/>
      <c r="G81" s="8"/>
      <c r="H81" s="8"/>
      <c r="I81" s="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2:33" s="7" customFormat="1" x14ac:dyDescent="0.25">
      <c r="B82" s="10"/>
      <c r="C82" s="8"/>
      <c r="D82" s="8"/>
      <c r="E82" s="8"/>
      <c r="F82" s="8"/>
      <c r="G82" s="8"/>
      <c r="H82" s="8"/>
      <c r="I82" s="8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2:33" s="7" customFormat="1" x14ac:dyDescent="0.25">
      <c r="B83" s="10"/>
      <c r="C83" s="8"/>
      <c r="D83" s="8"/>
      <c r="E83" s="8"/>
      <c r="F83" s="8"/>
      <c r="G83" s="8"/>
      <c r="H83" s="8"/>
      <c r="I83" s="8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2:33" s="7" customFormat="1" x14ac:dyDescent="0.25">
      <c r="B84" s="10"/>
      <c r="C84" s="8"/>
      <c r="D84" s="8"/>
      <c r="E84" s="8"/>
      <c r="F84" s="8"/>
      <c r="G84" s="8"/>
      <c r="H84" s="8"/>
      <c r="I84" s="8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2:33" s="7" customFormat="1" x14ac:dyDescent="0.25">
      <c r="B85" s="10"/>
      <c r="C85" s="8"/>
      <c r="D85" s="8"/>
      <c r="E85" s="8"/>
      <c r="F85" s="8"/>
      <c r="G85" s="8"/>
      <c r="H85" s="8"/>
      <c r="I85" s="8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2:33" s="7" customFormat="1" x14ac:dyDescent="0.25">
      <c r="B86" s="10"/>
      <c r="C86" s="8"/>
      <c r="D86" s="8"/>
      <c r="E86" s="8"/>
      <c r="F86" s="8"/>
      <c r="G86" s="8"/>
      <c r="H86" s="8"/>
      <c r="I86" s="8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2:33" s="7" customFormat="1" x14ac:dyDescent="0.25">
      <c r="B87" s="10"/>
      <c r="C87" s="8"/>
      <c r="D87" s="8"/>
      <c r="E87" s="8"/>
      <c r="F87" s="8"/>
      <c r="G87" s="8"/>
      <c r="H87" s="8"/>
      <c r="I87" s="8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2:33" s="7" customFormat="1" x14ac:dyDescent="0.25">
      <c r="B88" s="10"/>
      <c r="C88" s="8"/>
      <c r="D88" s="8"/>
      <c r="E88" s="8"/>
      <c r="F88" s="8"/>
      <c r="G88" s="8"/>
      <c r="H88" s="8"/>
      <c r="I88" s="8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2:33" s="7" customFormat="1" x14ac:dyDescent="0.25">
      <c r="B89" s="10"/>
      <c r="C89" s="8"/>
      <c r="D89" s="8"/>
      <c r="E89" s="8"/>
      <c r="F89" s="8"/>
      <c r="G89" s="8"/>
      <c r="H89" s="8"/>
      <c r="I89" s="8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2:33" s="7" customFormat="1" x14ac:dyDescent="0.25">
      <c r="B90" s="10"/>
      <c r="C90" s="8"/>
      <c r="D90" s="8"/>
      <c r="E90" s="8"/>
      <c r="F90" s="8"/>
      <c r="G90" s="8"/>
      <c r="H90" s="8"/>
      <c r="I90" s="8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2:33" s="7" customFormat="1" x14ac:dyDescent="0.25">
      <c r="B91" s="10"/>
      <c r="C91" s="8"/>
      <c r="D91" s="8"/>
      <c r="E91" s="8"/>
      <c r="F91" s="8"/>
      <c r="G91" s="8"/>
      <c r="H91" s="8"/>
      <c r="I91" s="8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2:33" s="7" customFormat="1" x14ac:dyDescent="0.25">
      <c r="B92" s="10"/>
      <c r="C92" s="8"/>
      <c r="D92" s="8"/>
      <c r="E92" s="8"/>
      <c r="F92" s="8"/>
      <c r="G92" s="8"/>
      <c r="H92" s="8"/>
      <c r="I92" s="8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2:33" s="7" customFormat="1" x14ac:dyDescent="0.25">
      <c r="B93" s="10"/>
      <c r="C93" s="8"/>
      <c r="D93" s="8"/>
      <c r="E93" s="8"/>
      <c r="F93" s="8"/>
      <c r="G93" s="8"/>
      <c r="H93" s="8"/>
      <c r="I93" s="8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2:33" s="7" customFormat="1" x14ac:dyDescent="0.25">
      <c r="B94" s="10"/>
      <c r="C94" s="8"/>
      <c r="D94" s="8"/>
      <c r="E94" s="8"/>
      <c r="F94" s="8"/>
      <c r="G94" s="8"/>
      <c r="H94" s="8"/>
      <c r="I94" s="8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2:33" s="7" customFormat="1" x14ac:dyDescent="0.25">
      <c r="B95" s="10"/>
      <c r="C95" s="8"/>
      <c r="D95" s="8"/>
      <c r="E95" s="8"/>
      <c r="F95" s="8"/>
      <c r="G95" s="8"/>
      <c r="H95" s="8"/>
      <c r="I95" s="8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2:33" s="7" customFormat="1" x14ac:dyDescent="0.25">
      <c r="B96" s="10"/>
      <c r="C96" s="8"/>
      <c r="D96" s="8"/>
      <c r="E96" s="8"/>
      <c r="F96" s="8"/>
      <c r="G96" s="8"/>
      <c r="H96" s="8"/>
      <c r="I96" s="8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2:33" s="7" customFormat="1" x14ac:dyDescent="0.25">
      <c r="B97" s="10"/>
      <c r="C97" s="8"/>
      <c r="D97" s="8"/>
      <c r="E97" s="8"/>
      <c r="F97" s="8"/>
      <c r="G97" s="8"/>
      <c r="H97" s="8"/>
      <c r="I97" s="8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2:33" s="7" customFormat="1" x14ac:dyDescent="0.25">
      <c r="B98" s="10"/>
      <c r="C98" s="8"/>
      <c r="D98" s="8"/>
      <c r="E98" s="8"/>
      <c r="F98" s="8"/>
      <c r="G98" s="8"/>
      <c r="H98" s="8"/>
      <c r="I98" s="8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2:33" s="7" customFormat="1" x14ac:dyDescent="0.25">
      <c r="B99" s="10"/>
      <c r="C99" s="8"/>
      <c r="D99" s="8"/>
      <c r="E99" s="8"/>
      <c r="F99" s="8"/>
      <c r="G99" s="8"/>
      <c r="H99" s="8"/>
      <c r="I99" s="8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2:33" s="7" customFormat="1" x14ac:dyDescent="0.25">
      <c r="B100" s="10"/>
      <c r="C100" s="8"/>
      <c r="D100" s="8"/>
      <c r="E100" s="8"/>
      <c r="F100" s="8"/>
      <c r="G100" s="8"/>
      <c r="H100" s="8"/>
      <c r="I100" s="8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2:33" s="7" customFormat="1" x14ac:dyDescent="0.25">
      <c r="B101" s="10"/>
      <c r="C101" s="8"/>
      <c r="D101" s="8"/>
      <c r="E101" s="8"/>
      <c r="F101" s="8"/>
      <c r="G101" s="8"/>
      <c r="H101" s="8"/>
      <c r="I101" s="8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2:33" x14ac:dyDescent="0.25"/>
    <row r="103" spans="2:33" x14ac:dyDescent="0.25"/>
    <row r="104" spans="2:33" x14ac:dyDescent="0.25"/>
    <row r="105" spans="2:33" x14ac:dyDescent="0.25"/>
  </sheetData>
  <sheetProtection sheet="1" objects="1" scenarios="1" selectLockedCells="1"/>
  <mergeCells count="21">
    <mergeCell ref="B3:B5"/>
    <mergeCell ref="G4:I4"/>
    <mergeCell ref="J4:L4"/>
    <mergeCell ref="N4:P4"/>
    <mergeCell ref="Q4:S4"/>
    <mergeCell ref="C4:D4"/>
    <mergeCell ref="C2:E2"/>
    <mergeCell ref="AE2:AG2"/>
    <mergeCell ref="C7:E7"/>
    <mergeCell ref="F7:L7"/>
    <mergeCell ref="M7:S7"/>
    <mergeCell ref="T7:Z7"/>
    <mergeCell ref="AA7:AG7"/>
    <mergeCell ref="C6:E6"/>
    <mergeCell ref="F6:L6"/>
    <mergeCell ref="M6:S6"/>
    <mergeCell ref="T6:Z6"/>
    <mergeCell ref="AA6:AG6"/>
    <mergeCell ref="U4:W4"/>
    <mergeCell ref="X4:Z4"/>
    <mergeCell ref="AB4:AD4"/>
  </mergeCells>
  <conditionalFormatting sqref="C8:AG8">
    <cfRule type="cellIs" dxfId="27" priority="51" operator="equal">
      <formula>TODAY()</formula>
    </cfRule>
    <cfRule type="expression" dxfId="26" priority="52">
      <formula>WEEKDAY(C8,2)&gt;5</formula>
    </cfRule>
  </conditionalFormatting>
  <conditionalFormatting sqref="C9:AG121">
    <cfRule type="cellIs" dxfId="25" priority="53" operator="equal">
      <formula>0</formula>
    </cfRule>
    <cfRule type="cellIs" dxfId="24" priority="54" operator="equal">
      <formula>3</formula>
    </cfRule>
    <cfRule type="cellIs" dxfId="23" priority="56" operator="equal">
      <formula>2</formula>
    </cfRule>
    <cfRule type="cellIs" dxfId="22" priority="57" operator="equal">
      <formula>1</formula>
    </cfRule>
  </conditionalFormatting>
  <conditionalFormatting sqref="AA4">
    <cfRule type="cellIs" dxfId="21" priority="1" operator="equal">
      <formula>0</formula>
    </cfRule>
    <cfRule type="cellIs" dxfId="20" priority="2" operator="equal">
      <formula>3</formula>
    </cfRule>
    <cfRule type="cellIs" dxfId="19" priority="3" operator="equal">
      <formula>2</formula>
    </cfRule>
    <cfRule type="cellIs" dxfId="18" priority="4" operator="equal">
      <formula>1</formula>
    </cfRule>
  </conditionalFormatting>
  <conditionalFormatting sqref="F4">
    <cfRule type="cellIs" dxfId="17" priority="13" operator="equal">
      <formula>0</formula>
    </cfRule>
    <cfRule type="cellIs" dxfId="16" priority="14" operator="equal">
      <formula>3</formula>
    </cfRule>
    <cfRule type="cellIs" dxfId="15" priority="15" operator="equal">
      <formula>2</formula>
    </cfRule>
    <cfRule type="cellIs" dxfId="14" priority="16" operator="equal">
      <formula>1</formula>
    </cfRule>
  </conditionalFormatting>
  <conditionalFormatting sqref="M4">
    <cfRule type="cellIs" dxfId="13" priority="9" operator="equal">
      <formula>0</formula>
    </cfRule>
    <cfRule type="cellIs" dxfId="12" priority="10" operator="equal">
      <formula>3</formula>
    </cfRule>
    <cfRule type="cellIs" dxfId="11" priority="11" operator="equal">
      <formula>2</formula>
    </cfRule>
    <cfRule type="cellIs" dxfId="10" priority="12" operator="equal">
      <formula>1</formula>
    </cfRule>
  </conditionalFormatting>
  <conditionalFormatting sqref="T4">
    <cfRule type="cellIs" dxfId="9" priority="5" operator="equal">
      <formula>0</formula>
    </cfRule>
    <cfRule type="cellIs" dxfId="8" priority="6" operator="equal">
      <formula>3</formula>
    </cfRule>
    <cfRule type="cellIs" dxfId="7" priority="7" operator="equal">
      <formula>2</formula>
    </cfRule>
    <cfRule type="cellIs" dxfId="6" priority="8" operator="equal">
      <formula>1</formula>
    </cfRule>
  </conditionalFormatting>
  <pageMargins left="0.25" right="0.25" top="0.75" bottom="0.75" header="0.3" footer="0.3"/>
  <pageSetup paperSize="9" scale="8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form"/>
  <dimension ref="A1:C14"/>
  <sheetViews>
    <sheetView showGridLines="0" tabSelected="1" workbookViewId="0">
      <selection activeCell="A5" sqref="A5"/>
    </sheetView>
  </sheetViews>
  <sheetFormatPr defaultRowHeight="15" x14ac:dyDescent="0.25"/>
  <cols>
    <col min="1" max="1" width="14.140625" customWidth="1"/>
    <col min="2" max="2" width="29.28515625" customWidth="1"/>
  </cols>
  <sheetData>
    <row r="1" spans="1:3" ht="24.95" customHeight="1" x14ac:dyDescent="0.25">
      <c r="A1" s="31" t="s">
        <v>23</v>
      </c>
      <c r="B1" s="29" t="s">
        <v>16</v>
      </c>
    </row>
    <row r="2" spans="1:3" ht="24.95" customHeight="1" x14ac:dyDescent="0.25">
      <c r="A2" s="32" t="s">
        <v>24</v>
      </c>
      <c r="B2" s="30">
        <v>44501</v>
      </c>
    </row>
    <row r="3" spans="1:3" ht="24.95" customHeight="1" x14ac:dyDescent="0.25">
      <c r="A3" s="32" t="s">
        <v>25</v>
      </c>
      <c r="B3" s="30">
        <v>44518</v>
      </c>
    </row>
    <row r="4" spans="1:3" ht="24.95" customHeight="1" x14ac:dyDescent="0.25">
      <c r="A4" s="31" t="s">
        <v>28</v>
      </c>
      <c r="B4" s="29" t="s">
        <v>10</v>
      </c>
    </row>
    <row r="5" spans="1:3" ht="50.1" customHeight="1" x14ac:dyDescent="0.25">
      <c r="A5" s="31" t="s">
        <v>21</v>
      </c>
      <c r="B5" s="33"/>
    </row>
    <row r="6" spans="1:3" ht="24.95" customHeight="1" x14ac:dyDescent="0.25">
      <c r="A6" s="31" t="s">
        <v>22</v>
      </c>
      <c r="B6" s="29"/>
    </row>
    <row r="8" spans="1:3" x14ac:dyDescent="0.25">
      <c r="A8" s="45" t="s">
        <v>26</v>
      </c>
      <c r="B8" s="45"/>
    </row>
    <row r="10" spans="1:3" ht="37.5" customHeight="1" x14ac:dyDescent="0.25">
      <c r="A10" s="44"/>
      <c r="B10" s="44"/>
      <c r="C10" s="7"/>
    </row>
    <row r="13" spans="1:3" x14ac:dyDescent="0.25">
      <c r="A13" t="s">
        <v>20</v>
      </c>
      <c r="B13">
        <f>IFERROR(INDEX(Tab.Risorse[Id],MATCH(_cellaRisorsa,Tab.Risorse[Nome],0),1),-1)</f>
        <v>2</v>
      </c>
    </row>
    <row r="14" spans="1:3" x14ac:dyDescent="0.25">
      <c r="A14" t="s">
        <v>27</v>
      </c>
      <c r="B14" s="28" t="b">
        <f>AND(_cellaDataFine&gt;_cellaDataInizio,_cellaDataInizio&lt;&gt;"",_cellaDataFine&lt;&gt;"",_cellaRisorsa&lt;&gt;"",B4&lt;&gt;"",_cellaIdRisorsa&lt;&gt;-1)</f>
        <v>1</v>
      </c>
    </row>
  </sheetData>
  <mergeCells count="2">
    <mergeCell ref="A10:B10"/>
    <mergeCell ref="A8:B8"/>
  </mergeCells>
  <conditionalFormatting sqref="B3">
    <cfRule type="cellIs" dxfId="5" priority="3" operator="equal">
      <formula>0</formula>
    </cfRule>
    <cfRule type="cellIs" dxfId="4" priority="6" operator="lessThan">
      <formula>$B$2</formula>
    </cfRule>
  </conditionalFormatting>
  <conditionalFormatting sqref="B2">
    <cfRule type="cellIs" dxfId="3" priority="4" operator="equal">
      <formula>0</formula>
    </cfRule>
    <cfRule type="cellIs" dxfId="2" priority="5" operator="greaterThan">
      <formula>$B$3</formula>
    </cfRule>
  </conditionalFormatting>
  <conditionalFormatting sqref="B1">
    <cfRule type="cellIs" dxfId="1" priority="2" operator="equal">
      <formula>0</formula>
    </cfRule>
  </conditionalFormatting>
  <conditionalFormatting sqref="B4">
    <cfRule type="cellIs" dxfId="0" priority="1" operator="equal">
      <formula>0</formula>
    </cfRule>
  </conditionalFormatting>
  <dataValidations count="2">
    <dataValidation type="list" allowBlank="1" showInputMessage="1" showErrorMessage="1" sqref="B1">
      <formula1>"Generator 1,Generator 2,Generator 3,Generator 4,Generator 5"</formula1>
    </dataValidation>
    <dataValidation type="list" allowBlank="1" showInputMessage="1" showErrorMessage="1" sqref="B4">
      <formula1>"Booked,In Use,Not avaliable"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12</vt:i4>
      </vt:variant>
    </vt:vector>
  </HeadingPairs>
  <TitlesOfParts>
    <vt:vector size="16" baseType="lpstr">
      <vt:lpstr>risorse</vt:lpstr>
      <vt:lpstr>dati</vt:lpstr>
      <vt:lpstr>ui</vt:lpstr>
      <vt:lpstr>form</vt:lpstr>
      <vt:lpstr>_cellaCheckForm</vt:lpstr>
      <vt:lpstr>_cellaDataFine</vt:lpstr>
      <vt:lpstr>_cellaDataInizio</vt:lpstr>
      <vt:lpstr>_cellaForm</vt:lpstr>
      <vt:lpstr>_cellaIdRisorsa</vt:lpstr>
      <vt:lpstr>_cellaRisorsa</vt:lpstr>
      <vt:lpstr>_nomi</vt:lpstr>
      <vt:lpstr>_primaCella</vt:lpstr>
      <vt:lpstr>_primaRisorsa</vt:lpstr>
      <vt:lpstr>_rngDays</vt:lpstr>
      <vt:lpstr>_rngWeeks</vt:lpstr>
      <vt:lpstr>ui!Area_stampa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cp:lastPrinted>2021-11-01T15:32:17Z</cp:lastPrinted>
  <dcterms:created xsi:type="dcterms:W3CDTF">2021-10-29T16:45:34Z</dcterms:created>
  <dcterms:modified xsi:type="dcterms:W3CDTF">2021-11-13T09:11:38Z</dcterms:modified>
</cp:coreProperties>
</file>