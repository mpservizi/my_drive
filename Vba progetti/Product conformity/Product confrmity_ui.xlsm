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 activeTab="5"/>
  </bookViews>
  <sheets>
    <sheet name="matrice_ui" sheetId="9" r:id="rId1"/>
    <sheet name="edit_cella" sheetId="10" r:id="rId2"/>
    <sheet name="db" sheetId="11" r:id="rId3"/>
    <sheet name="images" sheetId="12" r:id="rId4"/>
    <sheet name="my_tasks" sheetId="13" r:id="rId5"/>
    <sheet name="prodotti" sheetId="14" r:id="rId6"/>
  </sheets>
  <functionGroups builtInGroupCount="17"/>
  <definedNames>
    <definedName name="_cellaIdProdotti">matrice_ui!$A$2</definedName>
    <definedName name="_colonna">edit_cella!$B$9</definedName>
    <definedName name="_coverBy">edit_cella!$B$6</definedName>
    <definedName name="_documento">edit_cella!$B$5</definedName>
    <definedName name="_esito">edit_cella!$B$4</definedName>
    <definedName name="_xlnm._FilterDatabase" localSheetId="0" hidden="1">matrice_ui!$A$4:$G$24</definedName>
    <definedName name="_idProdotto">edit_cella!$B$11</definedName>
    <definedName name="_idRequisito">edit_cella!$B$10</definedName>
    <definedName name="_key">edit_cella!$B$14</definedName>
    <definedName name="_primaCella">matrice_ui!$A$4</definedName>
    <definedName name="_prodotto">edit_cella!$B$13</definedName>
    <definedName name="_requisito">edit_cella!$B$12</definedName>
    <definedName name="_riga">edit_cella!$B$8</definedName>
    <definedName name="COLONNA_ID_REQUISITO">COLUMN(_primaCella)</definedName>
    <definedName name="_xlnm.Print_Titles" localSheetId="0">matrice_ui!$A:$B,matrice_ui!$1:$4</definedName>
  </definedNames>
  <calcPr calcId="144525"/>
</workbook>
</file>

<file path=xl/calcChain.xml><?xml version="1.0" encoding="utf-8"?>
<calcChain xmlns="http://schemas.openxmlformats.org/spreadsheetml/2006/main"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5" i="9"/>
  <c r="F6" i="9"/>
  <c r="G24" i="9"/>
  <c r="G20" i="9"/>
  <c r="G15" i="9"/>
  <c r="G8" i="9"/>
  <c r="F21" i="9"/>
  <c r="F17" i="9"/>
  <c r="F13" i="9"/>
  <c r="F9" i="9"/>
  <c r="E14" i="9"/>
  <c r="E24" i="9"/>
  <c r="E20" i="9"/>
  <c r="E15" i="9"/>
  <c r="E7" i="9"/>
  <c r="D21" i="9"/>
  <c r="D17" i="9"/>
  <c r="D13" i="9"/>
  <c r="D9" i="9"/>
  <c r="G13" i="9"/>
  <c r="G5" i="9"/>
  <c r="G11" i="9"/>
  <c r="E6" i="9"/>
  <c r="G23" i="9"/>
  <c r="G19" i="9"/>
  <c r="G14" i="9"/>
  <c r="F24" i="9"/>
  <c r="F20" i="9"/>
  <c r="F16" i="9"/>
  <c r="F12" i="9"/>
  <c r="F8" i="9"/>
  <c r="E12" i="9"/>
  <c r="E23" i="9"/>
  <c r="E19" i="9"/>
  <c r="E13" i="9"/>
  <c r="D24" i="9"/>
  <c r="D20" i="9"/>
  <c r="D16" i="9"/>
  <c r="D8" i="9"/>
  <c r="G9" i="9"/>
  <c r="D6" i="9"/>
  <c r="G22" i="9"/>
  <c r="G18" i="9"/>
  <c r="G12" i="9"/>
  <c r="F23" i="9"/>
  <c r="F19" i="9"/>
  <c r="F15" i="9"/>
  <c r="F11" i="9"/>
  <c r="F7" i="9"/>
  <c r="E10" i="9"/>
  <c r="E22" i="9"/>
  <c r="E18" i="9"/>
  <c r="E11" i="9"/>
  <c r="D23" i="9"/>
  <c r="D19" i="9"/>
  <c r="D15" i="9"/>
  <c r="D11" i="9"/>
  <c r="D7" i="9"/>
  <c r="E5" i="9"/>
  <c r="G6" i="9"/>
  <c r="G21" i="9"/>
  <c r="G17" i="9"/>
  <c r="G10" i="9"/>
  <c r="F22" i="9"/>
  <c r="F18" i="9"/>
  <c r="F14" i="9"/>
  <c r="F10" i="9"/>
  <c r="E16" i="9"/>
  <c r="E8" i="9"/>
  <c r="E21" i="9"/>
  <c r="E17" i="9"/>
  <c r="E9" i="9"/>
  <c r="D22" i="9"/>
  <c r="D18" i="9"/>
  <c r="D14" i="9"/>
  <c r="D10" i="9"/>
  <c r="G16" i="9"/>
  <c r="G7" i="9"/>
  <c r="D5" i="9"/>
  <c r="D12" i="9"/>
  <c r="F5" i="9"/>
  <c r="B3" i="10" l="1"/>
  <c r="B2" i="10"/>
</calcChain>
</file>

<file path=xl/sharedStrings.xml><?xml version="1.0" encoding="utf-8"?>
<sst xmlns="http://schemas.openxmlformats.org/spreadsheetml/2006/main" count="118" uniqueCount="73">
  <si>
    <t>Id</t>
  </si>
  <si>
    <t>IdRequisito</t>
  </si>
  <si>
    <t>IdProdotto</t>
  </si>
  <si>
    <t>K_2_2</t>
  </si>
  <si>
    <t>K_3_4</t>
  </si>
  <si>
    <t>K_1_2</t>
  </si>
  <si>
    <t>K_3_1</t>
  </si>
  <si>
    <t>K_3_3</t>
  </si>
  <si>
    <t>Pass</t>
  </si>
  <si>
    <t>Esito</t>
  </si>
  <si>
    <t>Documento</t>
  </si>
  <si>
    <t>Id Requisito</t>
  </si>
  <si>
    <t>Requisito</t>
  </si>
  <si>
    <t>Prodotto 2</t>
  </si>
  <si>
    <t>Not fully positive</t>
  </si>
  <si>
    <t>Prodotto</t>
  </si>
  <si>
    <t>Cover by</t>
  </si>
  <si>
    <t>Riga</t>
  </si>
  <si>
    <t>Colonna</t>
  </si>
  <si>
    <t>CoverBy</t>
  </si>
  <si>
    <t>Image</t>
  </si>
  <si>
    <t>IdImage</t>
  </si>
  <si>
    <t>Key</t>
  </si>
  <si>
    <t>Text</t>
  </si>
  <si>
    <t>Prodotto 1</t>
  </si>
  <si>
    <t>Prodotto 4</t>
  </si>
  <si>
    <t>Prodotto 3</t>
  </si>
  <si>
    <t>K_1_1</t>
  </si>
  <si>
    <t>TBD</t>
  </si>
  <si>
    <t>In progress</t>
  </si>
  <si>
    <t>rp21lab0114</t>
  </si>
  <si>
    <t>Chapter</t>
  </si>
  <si>
    <t xml:space="preserve">In progress_x000D_
</t>
  </si>
  <si>
    <t xml:space="preserve">Pass_x000D_
</t>
  </si>
  <si>
    <t>K_5_2</t>
  </si>
  <si>
    <t>K_3_2</t>
  </si>
  <si>
    <t xml:space="preserve">Not fully positive_x000D_
</t>
  </si>
  <si>
    <t xml:space="preserve">TBD_x000D_
</t>
  </si>
  <si>
    <t>K_4_1</t>
  </si>
  <si>
    <t>Cap. 1</t>
  </si>
  <si>
    <t>Systo</t>
  </si>
  <si>
    <t xml:space="preserve">Pass_x000D_
rp21lab0114_x000D_
Cover by : Systo_x000D_
</t>
  </si>
  <si>
    <t>ToDo</t>
  </si>
  <si>
    <t>In Progress</t>
  </si>
  <si>
    <t>Done</t>
  </si>
  <si>
    <t>Creazione matrice collegata al databse</t>
  </si>
  <si>
    <t>Creazione database</t>
  </si>
  <si>
    <t>Form per edit task</t>
  </si>
  <si>
    <t>Salvataggio record in database</t>
  </si>
  <si>
    <t>Lettura dati da database</t>
  </si>
  <si>
    <t>Formattazione condizionale celle matrice</t>
  </si>
  <si>
    <t>Impostazione image prodotti</t>
  </si>
  <si>
    <t>Copiare dati da una cella ad altra cella o più celle</t>
  </si>
  <si>
    <t>Aggiunta nuovo prodotto</t>
  </si>
  <si>
    <t>Init matrice in base al database</t>
  </si>
  <si>
    <t>Range</t>
  </si>
  <si>
    <t>Brand</t>
  </si>
  <si>
    <t>Family</t>
  </si>
  <si>
    <t>Sub Family</t>
  </si>
  <si>
    <t>Terminal Type</t>
  </si>
  <si>
    <t>Product name</t>
  </si>
  <si>
    <t>Hager</t>
  </si>
  <si>
    <t>Socket</t>
  </si>
  <si>
    <t>Product type</t>
  </si>
  <si>
    <t>Socket with pin</t>
  </si>
  <si>
    <t>French</t>
  </si>
  <si>
    <t>Screw</t>
  </si>
  <si>
    <t>Screwless</t>
  </si>
  <si>
    <t>Systo screw</t>
  </si>
  <si>
    <t>Gallery</t>
  </si>
  <si>
    <t>Gallery refurbishing</t>
  </si>
  <si>
    <t>Gallery refurbishing Screw</t>
  </si>
  <si>
    <t>Based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</si>
</sst>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0" borderId="0" xfId="0" applyFill="1"/>
    <xf numFmtId="0" fontId="0" fillId="0" borderId="1" xfId="0" applyFill="1" applyBorder="1"/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vertical="center" wrapText="1"/>
    </xf>
    <xf numFmtId="49" fontId="1" fillId="0" borderId="1" xfId="0" applyNumberFormat="1" applyFont="1" applyBorder="1" applyAlignment="1">
      <alignment horizontal="left" vertical="top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5" fillId="5" borderId="3" xfId="0" applyFont="1" applyFill="1" applyBorder="1" applyAlignment="1">
      <alignment horizontal="center" vertical="center" wrapText="1"/>
    </xf>
  </cellXfs>
  <cellStyles count="1">
    <cellStyle name="Normale" xfId="0" builtinId="0"/>
  </cellStyles>
  <dxfs count="29">
    <dxf>
      <alignment horizontal="left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19050</xdr:rowOff>
    </xdr:from>
    <xdr:to>
      <xdr:col>1</xdr:col>
      <xdr:colOff>1377526</xdr:colOff>
      <xdr:row>0</xdr:row>
      <xdr:rowOff>883050</xdr:rowOff>
    </xdr:to>
    <xdr:sp macro="[0]!EditCella" textlink="">
      <xdr:nvSpPr>
        <xdr:cNvPr id="2" name="Rettangolo 1"/>
        <xdr:cNvSpPr/>
      </xdr:nvSpPr>
      <xdr:spPr>
        <a:xfrm>
          <a:off x="9526" y="19050"/>
          <a:ext cx="1368000" cy="864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>
              <a:solidFill>
                <a:schemeClr val="tx1"/>
              </a:solidFill>
            </a:rPr>
            <a:t>Edit cell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1008000</xdr:colOff>
      <xdr:row>0</xdr:row>
      <xdr:rowOff>360000</xdr:rowOff>
    </xdr:to>
    <xdr:sp macro="[0]!MostraPageMatrice" textlink="">
      <xdr:nvSpPr>
        <xdr:cNvPr id="2" name="Rettangolo 1"/>
        <xdr:cNvSpPr/>
      </xdr:nvSpPr>
      <xdr:spPr>
        <a:xfrm>
          <a:off x="0" y="0"/>
          <a:ext cx="1008000" cy="360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Back</a:t>
          </a:r>
        </a:p>
      </xdr:txBody>
    </xdr:sp>
    <xdr:clientData fPrintsWithSheet="0"/>
  </xdr:twoCellAnchor>
  <xdr:twoCellAnchor editAs="absolute">
    <xdr:from>
      <xdr:col>1</xdr:col>
      <xdr:colOff>314325</xdr:colOff>
      <xdr:row>0</xdr:row>
      <xdr:rowOff>0</xdr:rowOff>
    </xdr:from>
    <xdr:to>
      <xdr:col>1</xdr:col>
      <xdr:colOff>1754325</xdr:colOff>
      <xdr:row>0</xdr:row>
      <xdr:rowOff>360000</xdr:rowOff>
    </xdr:to>
    <xdr:sp macro="[0]!SaveCella" textlink="">
      <xdr:nvSpPr>
        <xdr:cNvPr id="3" name="Rettangolo 2"/>
        <xdr:cNvSpPr/>
      </xdr:nvSpPr>
      <xdr:spPr>
        <a:xfrm>
          <a:off x="1571625" y="0"/>
          <a:ext cx="1440000" cy="360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Save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828000</xdr:colOff>
      <xdr:row>2</xdr:row>
      <xdr:rowOff>828000</xdr:rowOff>
    </xdr:to>
    <xdr:sp macro="" textlink="">
      <xdr:nvSpPr>
        <xdr:cNvPr id="9" name="Rettangolo 8"/>
        <xdr:cNvSpPr/>
      </xdr:nvSpPr>
      <xdr:spPr>
        <a:xfrm>
          <a:off x="609600" y="1143000"/>
          <a:ext cx="828000" cy="828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828000</xdr:colOff>
      <xdr:row>3</xdr:row>
      <xdr:rowOff>828000</xdr:rowOff>
    </xdr:to>
    <xdr:sp macro="" textlink="">
      <xdr:nvSpPr>
        <xdr:cNvPr id="10" name="Rettangolo 9"/>
        <xdr:cNvSpPr/>
      </xdr:nvSpPr>
      <xdr:spPr>
        <a:xfrm>
          <a:off x="609600" y="2095500"/>
          <a:ext cx="828000" cy="828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828000</xdr:colOff>
      <xdr:row>4</xdr:row>
      <xdr:rowOff>828000</xdr:rowOff>
    </xdr:to>
    <xdr:sp macro="" textlink="">
      <xdr:nvSpPr>
        <xdr:cNvPr id="11" name="Rettangolo 10"/>
        <xdr:cNvSpPr/>
      </xdr:nvSpPr>
      <xdr:spPr>
        <a:xfrm>
          <a:off x="609600" y="3048000"/>
          <a:ext cx="828000" cy="82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828000</xdr:colOff>
      <xdr:row>5</xdr:row>
      <xdr:rowOff>828000</xdr:rowOff>
    </xdr:to>
    <xdr:sp macro="" textlink="">
      <xdr:nvSpPr>
        <xdr:cNvPr id="12" name="Rettangolo 11"/>
        <xdr:cNvSpPr/>
      </xdr:nvSpPr>
      <xdr:spPr>
        <a:xfrm>
          <a:off x="609600" y="4000500"/>
          <a:ext cx="828000" cy="8280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828000</xdr:colOff>
      <xdr:row>6</xdr:row>
      <xdr:rowOff>828000</xdr:rowOff>
    </xdr:to>
    <xdr:sp macro="" textlink="">
      <xdr:nvSpPr>
        <xdr:cNvPr id="13" name="Rettangolo 12"/>
        <xdr:cNvSpPr/>
      </xdr:nvSpPr>
      <xdr:spPr>
        <a:xfrm>
          <a:off x="609600" y="4953000"/>
          <a:ext cx="828000" cy="82800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828000</xdr:colOff>
      <xdr:row>7</xdr:row>
      <xdr:rowOff>828000</xdr:rowOff>
    </xdr:to>
    <xdr:sp macro="" textlink="">
      <xdr:nvSpPr>
        <xdr:cNvPr id="14" name="Rettangolo 13"/>
        <xdr:cNvSpPr/>
      </xdr:nvSpPr>
      <xdr:spPr>
        <a:xfrm>
          <a:off x="609600" y="5905500"/>
          <a:ext cx="828000" cy="828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828000</xdr:colOff>
      <xdr:row>1</xdr:row>
      <xdr:rowOff>828000</xdr:rowOff>
    </xdr:to>
    <xdr:sp macro="" textlink="">
      <xdr:nvSpPr>
        <xdr:cNvPr id="15" name="Rettangolo 14"/>
        <xdr:cNvSpPr/>
      </xdr:nvSpPr>
      <xdr:spPr>
        <a:xfrm>
          <a:off x="609600" y="190500"/>
          <a:ext cx="828000" cy="828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.db" displayName="Tab.db" ref="A1:I10" totalsRowShown="0" headerRowDxfId="28" dataDxfId="27">
  <autoFilter ref="A1:I10"/>
  <tableColumns count="9">
    <tableColumn id="1" name="Id" dataDxfId="26"/>
    <tableColumn id="2" name="IdRequisito" dataDxfId="25"/>
    <tableColumn id="3" name="IdProdotto" dataDxfId="24"/>
    <tableColumn id="4" name="IdImage" dataDxfId="23"/>
    <tableColumn id="7" name="Esito" dataDxfId="22"/>
    <tableColumn id="8" name="Documento" dataDxfId="21"/>
    <tableColumn id="9" name="CoverBy" dataDxfId="20"/>
    <tableColumn id="10" name="Key" dataDxfId="19"/>
    <tableColumn id="6" name="Text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.prodotti" displayName="Tab.prodotti" ref="A1:I6" totalsRowShown="0" headerRowDxfId="17" dataDxfId="15" headerRowBorderDxfId="16" tableBorderDxfId="14">
  <autoFilter ref="A1:I6"/>
  <tableColumns count="9">
    <tableColumn id="1" name="Id" dataDxfId="13"/>
    <tableColumn id="2" name="Product name" dataDxfId="12"/>
    <tableColumn id="4" name="Range" dataDxfId="11"/>
    <tableColumn id="5" name="Brand" dataDxfId="10"/>
    <tableColumn id="8" name="Product type" dataDxfId="9"/>
    <tableColumn id="6" name="Family" dataDxfId="8"/>
    <tableColumn id="7" name="Sub Family" dataDxfId="7"/>
    <tableColumn id="3" name="Terminal Type" dataDxfId="6"/>
    <tableColumn id="9" name="Based 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matrice"/>
  <dimension ref="A1:G24"/>
  <sheetViews>
    <sheetView showGridLines="0" zoomScale="85" zoomScaleNormal="85" workbookViewId="0">
      <pane xSplit="2" ySplit="4" topLeftCell="C5" activePane="bottomRight" state="frozen"/>
      <selection pane="topRight" activeCell="C1" sqref="C1"/>
      <selection pane="bottomLeft" activeCell="A2" sqref="A2"/>
      <selection pane="bottomRight" activeCell="B4" sqref="B4"/>
    </sheetView>
  </sheetViews>
  <sheetFormatPr defaultRowHeight="15" x14ac:dyDescent="0.25"/>
  <cols>
    <col min="1" max="1" width="11.5703125" hidden="1" customWidth="1"/>
    <col min="2" max="2" width="20.7109375" customWidth="1"/>
    <col min="3" max="3" width="32.28515625" customWidth="1"/>
    <col min="4" max="7" width="14.7109375" customWidth="1"/>
  </cols>
  <sheetData>
    <row r="1" spans="1:7" ht="69.95" customHeight="1" x14ac:dyDescent="0.25">
      <c r="A1" s="20"/>
      <c r="B1" s="20"/>
      <c r="C1" s="20"/>
      <c r="D1" s="11"/>
      <c r="E1" s="11"/>
      <c r="F1" s="11"/>
      <c r="G1" s="11"/>
    </row>
    <row r="2" spans="1:7" hidden="1" x14ac:dyDescent="0.25">
      <c r="A2" s="3"/>
      <c r="B2" s="3"/>
      <c r="C2" s="4"/>
      <c r="D2" s="3">
        <v>1</v>
      </c>
      <c r="E2" s="3">
        <v>2</v>
      </c>
      <c r="F2" s="3">
        <v>3</v>
      </c>
      <c r="G2" s="3">
        <v>4</v>
      </c>
    </row>
    <row r="3" spans="1:7" ht="5.0999999999999996" customHeight="1" x14ac:dyDescent="0.25"/>
    <row r="4" spans="1:7" ht="36" customHeight="1" x14ac:dyDescent="0.25">
      <c r="A4" s="14" t="s">
        <v>11</v>
      </c>
      <c r="B4" s="14" t="s">
        <v>31</v>
      </c>
      <c r="C4" s="14" t="s">
        <v>12</v>
      </c>
      <c r="D4" s="14" t="s">
        <v>24</v>
      </c>
      <c r="E4" s="14" t="s">
        <v>13</v>
      </c>
      <c r="F4" s="14" t="s">
        <v>26</v>
      </c>
      <c r="G4" s="14" t="s">
        <v>25</v>
      </c>
    </row>
    <row r="5" spans="1:7" ht="39.950000000000003" customHeight="1" x14ac:dyDescent="0.25">
      <c r="A5" s="4">
        <v>1</v>
      </c>
      <c r="B5" s="15" t="str">
        <f>CONCATENATE("Cap. ",A5)</f>
        <v>Cap. 1</v>
      </c>
      <c r="C5" s="15" t="str">
        <f>CONCATENATE("Requisito ",A5)</f>
        <v>Requisito 1</v>
      </c>
      <c r="D5" s="21" t="str">
        <f>IFERROR(INDEX(Tab.db[Text],MATCH(My_CreaKeyCella($A5,D$2),Tab.db[Key],0)),"")</f>
        <v xml:space="preserve">Pass_x000D_
rp21lab0114_x000D_
Cover by : Systo_x000D_
</v>
      </c>
      <c r="E5" s="21">
        <f>IFERROR(INDEX(Tab.db[Text],MATCH(My_CreaKeyCella($A5,E$2),Tab.db[Key],0)),"")</f>
        <v>0</v>
      </c>
      <c r="F5" s="21" t="str">
        <f>IFERROR(INDEX(Tab.db[Text],MATCH(My_CreaKeyCella($A5,F$2),Tab.db[Key],0)),"")</f>
        <v/>
      </c>
      <c r="G5" s="21" t="str">
        <f>IFERROR(INDEX(Tab.db[Text],MATCH(My_CreaKeyCella($A5,G$2),Tab.db[Key],0)),"")</f>
        <v/>
      </c>
    </row>
    <row r="6" spans="1:7" ht="39.950000000000003" customHeight="1" x14ac:dyDescent="0.25">
      <c r="A6" s="4">
        <v>2</v>
      </c>
      <c r="B6" s="15" t="str">
        <f t="shared" ref="B6:B24" si="0">CONCATENATE("Cap. ",A6)</f>
        <v>Cap. 2</v>
      </c>
      <c r="C6" s="15" t="str">
        <f t="shared" ref="C6:C24" si="1">CONCATENATE("Requisito ",A6)</f>
        <v>Requisito 2</v>
      </c>
      <c r="D6" s="21" t="str">
        <f>IFERROR(INDEX(Tab.db[Text],MATCH(My_CreaKeyCella($A6,D$2),Tab.db[Key],0)),"")</f>
        <v/>
      </c>
      <c r="E6" s="21">
        <f>IFERROR(INDEX(Tab.db[Text],MATCH(My_CreaKeyCella($A6,E$2),Tab.db[Key],0)),"")</f>
        <v>0</v>
      </c>
      <c r="F6" s="21" t="str">
        <f>IFERROR(INDEX(Tab.db[Text],MATCH(My_CreaKeyCella($A6,F$2),Tab.db[Key],0)),"")</f>
        <v/>
      </c>
      <c r="G6" s="21" t="str">
        <f>IFERROR(INDEX(Tab.db[Text],MATCH(My_CreaKeyCella($A6,G$2),Tab.db[Key],0)),"")</f>
        <v/>
      </c>
    </row>
    <row r="7" spans="1:7" ht="39.950000000000003" customHeight="1" x14ac:dyDescent="0.25">
      <c r="A7" s="4">
        <v>3</v>
      </c>
      <c r="B7" s="15" t="str">
        <f t="shared" si="0"/>
        <v>Cap. 3</v>
      </c>
      <c r="C7" s="15" t="str">
        <f t="shared" si="1"/>
        <v>Requisito 3</v>
      </c>
      <c r="D7" s="19" t="str">
        <f>IFERROR(INDEX(Tab.db[Text],MATCH(My_CreaKeyCella($A7,D$2),Tab.db[Key],0)),"")</f>
        <v xml:space="preserve">Pass_x000D_
</v>
      </c>
      <c r="E7" s="19" t="str">
        <f>IFERROR(INDEX(Tab.db[Text],MATCH(My_CreaKeyCella($A7,E$2),Tab.db[Key],0)),"")</f>
        <v xml:space="preserve">Not fully positive_x000D_
</v>
      </c>
      <c r="F7" s="19" t="str">
        <f>IFERROR(INDEX(Tab.db[Text],MATCH(My_CreaKeyCella($A7,F$2),Tab.db[Key],0)),"")</f>
        <v xml:space="preserve">TBD_x000D_
</v>
      </c>
      <c r="G7" s="19" t="str">
        <f>IFERROR(INDEX(Tab.db[Text],MATCH(My_CreaKeyCella($A7,G$2),Tab.db[Key],0)),"")</f>
        <v xml:space="preserve">Pass_x000D_
</v>
      </c>
    </row>
    <row r="8" spans="1:7" ht="39.950000000000003" customHeight="1" x14ac:dyDescent="0.25">
      <c r="A8" s="4">
        <v>4</v>
      </c>
      <c r="B8" s="15" t="str">
        <f t="shared" si="0"/>
        <v>Cap. 4</v>
      </c>
      <c r="C8" s="15" t="str">
        <f t="shared" si="1"/>
        <v>Requisito 4</v>
      </c>
      <c r="D8" s="19" t="str">
        <f>IFERROR(INDEX(Tab.db[Text],MATCH(My_CreaKeyCella($A8,D$2),Tab.db[Key],0)),"")</f>
        <v xml:space="preserve">Not fully positive_x000D_
</v>
      </c>
      <c r="E8" s="19" t="str">
        <f>IFERROR(INDEX(Tab.db[Text],MATCH(My_CreaKeyCella($A8,E$2),Tab.db[Key],0)),"")</f>
        <v/>
      </c>
      <c r="F8" s="19" t="str">
        <f>IFERROR(INDEX(Tab.db[Text],MATCH(My_CreaKeyCella($A8,F$2),Tab.db[Key],0)),"")</f>
        <v/>
      </c>
      <c r="G8" s="19" t="str">
        <f>IFERROR(INDEX(Tab.db[Text],MATCH(My_CreaKeyCella($A8,G$2),Tab.db[Key],0)),"")</f>
        <v/>
      </c>
    </row>
    <row r="9" spans="1:7" ht="39.950000000000003" customHeight="1" x14ac:dyDescent="0.25">
      <c r="A9" s="4">
        <v>5</v>
      </c>
      <c r="B9" s="15" t="str">
        <f t="shared" si="0"/>
        <v>Cap. 5</v>
      </c>
      <c r="C9" s="15" t="str">
        <f t="shared" si="1"/>
        <v>Requisito 5</v>
      </c>
      <c r="D9" s="19" t="str">
        <f>IFERROR(INDEX(Tab.db[Text],MATCH(My_CreaKeyCella($A9,D$2),Tab.db[Key],0)),"")</f>
        <v/>
      </c>
      <c r="E9" s="19" t="str">
        <f>IFERROR(INDEX(Tab.db[Text],MATCH(My_CreaKeyCella($A9,E$2),Tab.db[Key],0)),"")</f>
        <v xml:space="preserve">In progress_x000D_
</v>
      </c>
      <c r="F9" s="19" t="str">
        <f>IFERROR(INDEX(Tab.db[Text],MATCH(My_CreaKeyCella($A9,F$2),Tab.db[Key],0)),"")</f>
        <v/>
      </c>
      <c r="G9" s="19" t="str">
        <f>IFERROR(INDEX(Tab.db[Text],MATCH(My_CreaKeyCella($A9,G$2),Tab.db[Key],0)),"")</f>
        <v/>
      </c>
    </row>
    <row r="10" spans="1:7" ht="39.950000000000003" customHeight="1" x14ac:dyDescent="0.25">
      <c r="A10" s="4">
        <v>6</v>
      </c>
      <c r="B10" s="15" t="str">
        <f t="shared" si="0"/>
        <v>Cap. 6</v>
      </c>
      <c r="C10" s="15" t="str">
        <f t="shared" si="1"/>
        <v>Requisito 6</v>
      </c>
      <c r="D10" s="19" t="str">
        <f>IFERROR(INDEX(Tab.db[Text],MATCH(My_CreaKeyCella($A10,D$2),Tab.db[Key],0)),"")</f>
        <v/>
      </c>
      <c r="E10" s="19" t="str">
        <f>IFERROR(INDEX(Tab.db[Text],MATCH(My_CreaKeyCella($A10,E$2),Tab.db[Key],0)),"")</f>
        <v/>
      </c>
      <c r="F10" s="19" t="str">
        <f>IFERROR(INDEX(Tab.db[Text],MATCH(My_CreaKeyCella($A10,F$2),Tab.db[Key],0)),"")</f>
        <v/>
      </c>
      <c r="G10" s="19" t="str">
        <f>IFERROR(INDEX(Tab.db[Text],MATCH(My_CreaKeyCella($A10,G$2),Tab.db[Key],0)),"")</f>
        <v/>
      </c>
    </row>
    <row r="11" spans="1:7" ht="39.950000000000003" customHeight="1" x14ac:dyDescent="0.25">
      <c r="A11" s="4">
        <v>7</v>
      </c>
      <c r="B11" s="15" t="str">
        <f t="shared" si="0"/>
        <v>Cap. 7</v>
      </c>
      <c r="C11" s="15" t="str">
        <f t="shared" si="1"/>
        <v>Requisito 7</v>
      </c>
      <c r="D11" s="19" t="str">
        <f>IFERROR(INDEX(Tab.db[Text],MATCH(My_CreaKeyCella($A11,D$2),Tab.db[Key],0)),"")</f>
        <v/>
      </c>
      <c r="E11" s="19" t="str">
        <f>IFERROR(INDEX(Tab.db[Text],MATCH(My_CreaKeyCella($A11,E$2),Tab.db[Key],0)),"")</f>
        <v/>
      </c>
      <c r="F11" s="19" t="str">
        <f>IFERROR(INDEX(Tab.db[Text],MATCH(My_CreaKeyCella($A11,F$2),Tab.db[Key],0)),"")</f>
        <v/>
      </c>
      <c r="G11" s="19" t="str">
        <f>IFERROR(INDEX(Tab.db[Text],MATCH(My_CreaKeyCella($A11,G$2),Tab.db[Key],0)),"")</f>
        <v/>
      </c>
    </row>
    <row r="12" spans="1:7" ht="39.950000000000003" customHeight="1" x14ac:dyDescent="0.25">
      <c r="A12" s="4">
        <v>8</v>
      </c>
      <c r="B12" s="15" t="str">
        <f t="shared" si="0"/>
        <v>Cap. 8</v>
      </c>
      <c r="C12" s="15" t="str">
        <f t="shared" si="1"/>
        <v>Requisito 8</v>
      </c>
      <c r="D12" s="19" t="str">
        <f>IFERROR(INDEX(Tab.db[Text],MATCH(My_CreaKeyCella($A12,D$2),Tab.db[Key],0)),"")</f>
        <v/>
      </c>
      <c r="E12" s="19" t="str">
        <f>IFERROR(INDEX(Tab.db[Text],MATCH(My_CreaKeyCella($A12,E$2),Tab.db[Key],0)),"")</f>
        <v/>
      </c>
      <c r="F12" s="19" t="str">
        <f>IFERROR(INDEX(Tab.db[Text],MATCH(My_CreaKeyCella($A12,F$2),Tab.db[Key],0)),"")</f>
        <v/>
      </c>
      <c r="G12" s="19" t="str">
        <f>IFERROR(INDEX(Tab.db[Text],MATCH(My_CreaKeyCella($A12,G$2),Tab.db[Key],0)),"")</f>
        <v/>
      </c>
    </row>
    <row r="13" spans="1:7" ht="39.950000000000003" customHeight="1" x14ac:dyDescent="0.25">
      <c r="A13" s="4">
        <v>9</v>
      </c>
      <c r="B13" s="15" t="str">
        <f t="shared" si="0"/>
        <v>Cap. 9</v>
      </c>
      <c r="C13" s="15" t="str">
        <f t="shared" si="1"/>
        <v>Requisito 9</v>
      </c>
      <c r="D13" s="19" t="str">
        <f>IFERROR(INDEX(Tab.db[Text],MATCH(My_CreaKeyCella($A13,D$2),Tab.db[Key],0)),"")</f>
        <v/>
      </c>
      <c r="E13" s="19" t="str">
        <f>IFERROR(INDEX(Tab.db[Text],MATCH(My_CreaKeyCella($A13,E$2),Tab.db[Key],0)),"")</f>
        <v/>
      </c>
      <c r="F13" s="19" t="str">
        <f>IFERROR(INDEX(Tab.db[Text],MATCH(My_CreaKeyCella($A13,F$2),Tab.db[Key],0)),"")</f>
        <v/>
      </c>
      <c r="G13" s="19" t="str">
        <f>IFERROR(INDEX(Tab.db[Text],MATCH(My_CreaKeyCella($A13,G$2),Tab.db[Key],0)),"")</f>
        <v/>
      </c>
    </row>
    <row r="14" spans="1:7" ht="39.950000000000003" customHeight="1" x14ac:dyDescent="0.25">
      <c r="A14" s="4">
        <v>10</v>
      </c>
      <c r="B14" s="15" t="str">
        <f t="shared" si="0"/>
        <v>Cap. 10</v>
      </c>
      <c r="C14" s="15" t="str">
        <f t="shared" si="1"/>
        <v>Requisito 10</v>
      </c>
      <c r="D14" s="19" t="str">
        <f>IFERROR(INDEX(Tab.db[Text],MATCH(My_CreaKeyCella($A14,D$2),Tab.db[Key],0)),"")</f>
        <v/>
      </c>
      <c r="E14" s="19" t="str">
        <f>IFERROR(INDEX(Tab.db[Text],MATCH(My_CreaKeyCella($A14,E$2),Tab.db[Key],0)),"")</f>
        <v/>
      </c>
      <c r="F14" s="19" t="str">
        <f>IFERROR(INDEX(Tab.db[Text],MATCH(My_CreaKeyCella($A14,F$2),Tab.db[Key],0)),"")</f>
        <v/>
      </c>
      <c r="G14" s="19" t="str">
        <f>IFERROR(INDEX(Tab.db[Text],MATCH(My_CreaKeyCella($A14,G$2),Tab.db[Key],0)),"")</f>
        <v/>
      </c>
    </row>
    <row r="15" spans="1:7" ht="39.950000000000003" customHeight="1" x14ac:dyDescent="0.25">
      <c r="A15" s="4">
        <v>11</v>
      </c>
      <c r="B15" s="15" t="str">
        <f t="shared" si="0"/>
        <v>Cap. 11</v>
      </c>
      <c r="C15" s="15" t="str">
        <f t="shared" si="1"/>
        <v>Requisito 11</v>
      </c>
      <c r="D15" s="19" t="str">
        <f>IFERROR(INDEX(Tab.db[Text],MATCH(My_CreaKeyCella($A15,D$2),Tab.db[Key],0)),"")</f>
        <v/>
      </c>
      <c r="E15" s="19" t="str">
        <f>IFERROR(INDEX(Tab.db[Text],MATCH(My_CreaKeyCella($A15,E$2),Tab.db[Key],0)),"")</f>
        <v/>
      </c>
      <c r="F15" s="19" t="str">
        <f>IFERROR(INDEX(Tab.db[Text],MATCH(My_CreaKeyCella($A15,F$2),Tab.db[Key],0)),"")</f>
        <v/>
      </c>
      <c r="G15" s="19" t="str">
        <f>IFERROR(INDEX(Tab.db[Text],MATCH(My_CreaKeyCella($A15,G$2),Tab.db[Key],0)),"")</f>
        <v/>
      </c>
    </row>
    <row r="16" spans="1:7" ht="39.950000000000003" customHeight="1" x14ac:dyDescent="0.25">
      <c r="A16" s="4">
        <v>12</v>
      </c>
      <c r="B16" s="15" t="str">
        <f t="shared" si="0"/>
        <v>Cap. 12</v>
      </c>
      <c r="C16" s="15" t="str">
        <f t="shared" si="1"/>
        <v>Requisito 12</v>
      </c>
      <c r="D16" s="19" t="str">
        <f>IFERROR(INDEX(Tab.db[Text],MATCH(My_CreaKeyCella($A16,D$2),Tab.db[Key],0)),"")</f>
        <v/>
      </c>
      <c r="E16" s="19" t="str">
        <f>IFERROR(INDEX(Tab.db[Text],MATCH(My_CreaKeyCella($A16,E$2),Tab.db[Key],0)),"")</f>
        <v/>
      </c>
      <c r="F16" s="19" t="str">
        <f>IFERROR(INDEX(Tab.db[Text],MATCH(My_CreaKeyCella($A16,F$2),Tab.db[Key],0)),"")</f>
        <v/>
      </c>
      <c r="G16" s="19" t="str">
        <f>IFERROR(INDEX(Tab.db[Text],MATCH(My_CreaKeyCella($A16,G$2),Tab.db[Key],0)),"")</f>
        <v/>
      </c>
    </row>
    <row r="17" spans="1:7" ht="39.950000000000003" customHeight="1" x14ac:dyDescent="0.25">
      <c r="A17" s="4">
        <v>13</v>
      </c>
      <c r="B17" s="15" t="str">
        <f t="shared" si="0"/>
        <v>Cap. 13</v>
      </c>
      <c r="C17" s="15" t="str">
        <f t="shared" si="1"/>
        <v>Requisito 13</v>
      </c>
      <c r="D17" s="19" t="str">
        <f>IFERROR(INDEX(Tab.db[Text],MATCH(My_CreaKeyCella($A17,D$2),Tab.db[Key],0)),"")</f>
        <v/>
      </c>
      <c r="E17" s="19" t="str">
        <f>IFERROR(INDEX(Tab.db[Text],MATCH(My_CreaKeyCella($A17,E$2),Tab.db[Key],0)),"")</f>
        <v/>
      </c>
      <c r="F17" s="19" t="str">
        <f>IFERROR(INDEX(Tab.db[Text],MATCH(My_CreaKeyCella($A17,F$2),Tab.db[Key],0)),"")</f>
        <v/>
      </c>
      <c r="G17" s="19" t="str">
        <f>IFERROR(INDEX(Tab.db[Text],MATCH(My_CreaKeyCella($A17,G$2),Tab.db[Key],0)),"")</f>
        <v/>
      </c>
    </row>
    <row r="18" spans="1:7" ht="39.950000000000003" customHeight="1" x14ac:dyDescent="0.25">
      <c r="A18" s="4">
        <v>14</v>
      </c>
      <c r="B18" s="15" t="str">
        <f t="shared" si="0"/>
        <v>Cap. 14</v>
      </c>
      <c r="C18" s="15" t="str">
        <f t="shared" si="1"/>
        <v>Requisito 14</v>
      </c>
      <c r="D18" s="19" t="str">
        <f>IFERROR(INDEX(Tab.db[Text],MATCH(My_CreaKeyCella($A18,D$2),Tab.db[Key],0)),"")</f>
        <v/>
      </c>
      <c r="E18" s="19" t="str">
        <f>IFERROR(INDEX(Tab.db[Text],MATCH(My_CreaKeyCella($A18,E$2),Tab.db[Key],0)),"")</f>
        <v/>
      </c>
      <c r="F18" s="19" t="str">
        <f>IFERROR(INDEX(Tab.db[Text],MATCH(My_CreaKeyCella($A18,F$2),Tab.db[Key],0)),"")</f>
        <v/>
      </c>
      <c r="G18" s="19" t="str">
        <f>IFERROR(INDEX(Tab.db[Text],MATCH(My_CreaKeyCella($A18,G$2),Tab.db[Key],0)),"")</f>
        <v/>
      </c>
    </row>
    <row r="19" spans="1:7" ht="39.950000000000003" customHeight="1" x14ac:dyDescent="0.25">
      <c r="A19" s="4">
        <v>15</v>
      </c>
      <c r="B19" s="15" t="str">
        <f t="shared" si="0"/>
        <v>Cap. 15</v>
      </c>
      <c r="C19" s="15" t="str">
        <f t="shared" si="1"/>
        <v>Requisito 15</v>
      </c>
      <c r="D19" s="19" t="str">
        <f>IFERROR(INDEX(Tab.db[Text],MATCH(My_CreaKeyCella($A19,D$2),Tab.db[Key],0)),"")</f>
        <v/>
      </c>
      <c r="E19" s="19" t="str">
        <f>IFERROR(INDEX(Tab.db[Text],MATCH(My_CreaKeyCella($A19,E$2),Tab.db[Key],0)),"")</f>
        <v/>
      </c>
      <c r="F19" s="19" t="str">
        <f>IFERROR(INDEX(Tab.db[Text],MATCH(My_CreaKeyCella($A19,F$2),Tab.db[Key],0)),"")</f>
        <v/>
      </c>
      <c r="G19" s="19" t="str">
        <f>IFERROR(INDEX(Tab.db[Text],MATCH(My_CreaKeyCella($A19,G$2),Tab.db[Key],0)),"")</f>
        <v/>
      </c>
    </row>
    <row r="20" spans="1:7" ht="39.950000000000003" customHeight="1" x14ac:dyDescent="0.25">
      <c r="A20" s="4">
        <v>16</v>
      </c>
      <c r="B20" s="15" t="str">
        <f t="shared" si="0"/>
        <v>Cap. 16</v>
      </c>
      <c r="C20" s="15" t="str">
        <f t="shared" si="1"/>
        <v>Requisito 16</v>
      </c>
      <c r="D20" s="19" t="str">
        <f>IFERROR(INDEX(Tab.db[Text],MATCH(My_CreaKeyCella($A20,D$2),Tab.db[Key],0)),"")</f>
        <v/>
      </c>
      <c r="E20" s="19" t="str">
        <f>IFERROR(INDEX(Tab.db[Text],MATCH(My_CreaKeyCella($A20,E$2),Tab.db[Key],0)),"")</f>
        <v/>
      </c>
      <c r="F20" s="19" t="str">
        <f>IFERROR(INDEX(Tab.db[Text],MATCH(My_CreaKeyCella($A20,F$2),Tab.db[Key],0)),"")</f>
        <v/>
      </c>
      <c r="G20" s="19" t="str">
        <f>IFERROR(INDEX(Tab.db[Text],MATCH(My_CreaKeyCella($A20,G$2),Tab.db[Key],0)),"")</f>
        <v/>
      </c>
    </row>
    <row r="21" spans="1:7" ht="39.950000000000003" customHeight="1" x14ac:dyDescent="0.25">
      <c r="A21" s="4">
        <v>17</v>
      </c>
      <c r="B21" s="15" t="str">
        <f t="shared" si="0"/>
        <v>Cap. 17</v>
      </c>
      <c r="C21" s="15" t="str">
        <f t="shared" si="1"/>
        <v>Requisito 17</v>
      </c>
      <c r="D21" s="19" t="str">
        <f>IFERROR(INDEX(Tab.db[Text],MATCH(My_CreaKeyCella($A21,D$2),Tab.db[Key],0)),"")</f>
        <v/>
      </c>
      <c r="E21" s="19" t="str">
        <f>IFERROR(INDEX(Tab.db[Text],MATCH(My_CreaKeyCella($A21,E$2),Tab.db[Key],0)),"")</f>
        <v/>
      </c>
      <c r="F21" s="19" t="str">
        <f>IFERROR(INDEX(Tab.db[Text],MATCH(My_CreaKeyCella($A21,F$2),Tab.db[Key],0)),"")</f>
        <v/>
      </c>
      <c r="G21" s="19" t="str">
        <f>IFERROR(INDEX(Tab.db[Text],MATCH(My_CreaKeyCella($A21,G$2),Tab.db[Key],0)),"")</f>
        <v/>
      </c>
    </row>
    <row r="22" spans="1:7" ht="39.950000000000003" customHeight="1" x14ac:dyDescent="0.25">
      <c r="A22" s="4">
        <v>18</v>
      </c>
      <c r="B22" s="15" t="str">
        <f t="shared" si="0"/>
        <v>Cap. 18</v>
      </c>
      <c r="C22" s="15" t="str">
        <f t="shared" si="1"/>
        <v>Requisito 18</v>
      </c>
      <c r="D22" s="19" t="str">
        <f>IFERROR(INDEX(Tab.db[Text],MATCH(My_CreaKeyCella($A22,D$2),Tab.db[Key],0)),"")</f>
        <v/>
      </c>
      <c r="E22" s="19" t="str">
        <f>IFERROR(INDEX(Tab.db[Text],MATCH(My_CreaKeyCella($A22,E$2),Tab.db[Key],0)),"")</f>
        <v/>
      </c>
      <c r="F22" s="19" t="str">
        <f>IFERROR(INDEX(Tab.db[Text],MATCH(My_CreaKeyCella($A22,F$2),Tab.db[Key],0)),"")</f>
        <v/>
      </c>
      <c r="G22" s="19" t="str">
        <f>IFERROR(INDEX(Tab.db[Text],MATCH(My_CreaKeyCella($A22,G$2),Tab.db[Key],0)),"")</f>
        <v/>
      </c>
    </row>
    <row r="23" spans="1:7" ht="39.950000000000003" customHeight="1" x14ac:dyDescent="0.25">
      <c r="A23" s="4">
        <v>19</v>
      </c>
      <c r="B23" s="15" t="str">
        <f t="shared" si="0"/>
        <v>Cap. 19</v>
      </c>
      <c r="C23" s="15" t="str">
        <f t="shared" si="1"/>
        <v>Requisito 19</v>
      </c>
      <c r="D23" s="19" t="str">
        <f>IFERROR(INDEX(Tab.db[Text],MATCH(My_CreaKeyCella($A23,D$2),Tab.db[Key],0)),"")</f>
        <v/>
      </c>
      <c r="E23" s="19" t="str">
        <f>IFERROR(INDEX(Tab.db[Text],MATCH(My_CreaKeyCella($A23,E$2),Tab.db[Key],0)),"")</f>
        <v/>
      </c>
      <c r="F23" s="19" t="str">
        <f>IFERROR(INDEX(Tab.db[Text],MATCH(My_CreaKeyCella($A23,F$2),Tab.db[Key],0)),"")</f>
        <v/>
      </c>
      <c r="G23" s="19" t="str">
        <f>IFERROR(INDEX(Tab.db[Text],MATCH(My_CreaKeyCella($A23,G$2),Tab.db[Key],0)),"")</f>
        <v/>
      </c>
    </row>
    <row r="24" spans="1:7" ht="39.950000000000003" customHeight="1" x14ac:dyDescent="0.25">
      <c r="A24" s="4">
        <v>20</v>
      </c>
      <c r="B24" s="15" t="str">
        <f t="shared" si="0"/>
        <v>Cap. 20</v>
      </c>
      <c r="C24" s="15" t="str">
        <f t="shared" si="1"/>
        <v>Requisito 20</v>
      </c>
      <c r="D24" s="19" t="str">
        <f>IFERROR(INDEX(Tab.db[Text],MATCH(My_CreaKeyCella($A24,D$2),Tab.db[Key],0)),"")</f>
        <v/>
      </c>
      <c r="E24" s="19" t="str">
        <f>IFERROR(INDEX(Tab.db[Text],MATCH(My_CreaKeyCella($A24,E$2),Tab.db[Key],0)),"")</f>
        <v/>
      </c>
      <c r="F24" s="19" t="str">
        <f>IFERROR(INDEX(Tab.db[Text],MATCH(My_CreaKeyCella($A24,F$2),Tab.db[Key],0)),"")</f>
        <v/>
      </c>
      <c r="G24" s="19" t="str">
        <f>IFERROR(INDEX(Tab.db[Text],MATCH(My_CreaKeyCella($A24,G$2),Tab.db[Key],0)),"")</f>
        <v/>
      </c>
    </row>
  </sheetData>
  <sheetProtection sheet="1" objects="1" scenarios="1" autoFilter="0"/>
  <autoFilter ref="A4:G24"/>
  <conditionalFormatting sqref="D5:G24">
    <cfRule type="cellIs" dxfId="5" priority="1" operator="equal">
      <formula>0</formula>
    </cfRule>
    <cfRule type="containsText" dxfId="4" priority="2" operator="containsText" text="Not">
      <formula>NOT(ISERROR(SEARCH("Not",D5)))</formula>
    </cfRule>
    <cfRule type="containsText" dxfId="3" priority="3" operator="containsText" text="In progress">
      <formula>NOT(ISERROR(SEARCH("In progress",D5)))</formula>
    </cfRule>
    <cfRule type="containsText" dxfId="2" priority="4" operator="containsText" text="FAIL">
      <formula>NOT(ISERROR(SEARCH("FAIL",D5)))</formula>
    </cfRule>
    <cfRule type="containsText" dxfId="1" priority="5" operator="containsText" text="PASS">
      <formula>NOT(ISERROR(SEARCH("PASS",D5)))</formula>
    </cfRule>
  </conditionalFormatting>
  <pageMargins left="0.25" right="0.25" top="0.75" bottom="0.75" header="0.3" footer="0.3"/>
  <pageSetup paperSize="9" orientation="landscape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8"/>
  <sheetViews>
    <sheetView workbookViewId="0">
      <selection activeCell="B4" sqref="B4"/>
    </sheetView>
  </sheetViews>
  <sheetFormatPr defaultColWidth="0" defaultRowHeight="15" zeroHeight="1" x14ac:dyDescent="0.25"/>
  <cols>
    <col min="1" max="1" width="18.85546875" customWidth="1"/>
    <col min="2" max="2" width="38.5703125" customWidth="1"/>
    <col min="3" max="16384" width="9.140625" hidden="1"/>
  </cols>
  <sheetData>
    <row r="1" spans="1:2" ht="30.75" customHeight="1" x14ac:dyDescent="0.25">
      <c r="A1" s="24"/>
      <c r="B1" s="24"/>
    </row>
    <row r="2" spans="1:2" ht="26.25" customHeight="1" x14ac:dyDescent="0.25">
      <c r="A2" s="2" t="s">
        <v>15</v>
      </c>
      <c r="B2" s="7" t="str">
        <f>_prodotto</f>
        <v>Prodotto 1</v>
      </c>
    </row>
    <row r="3" spans="1:2" ht="26.25" customHeight="1" x14ac:dyDescent="0.25">
      <c r="A3" s="2" t="s">
        <v>12</v>
      </c>
      <c r="B3" s="7" t="str">
        <f>_requisito</f>
        <v>Cap. 1</v>
      </c>
    </row>
    <row r="4" spans="1:2" ht="26.25" customHeight="1" x14ac:dyDescent="0.25">
      <c r="A4" s="2" t="s">
        <v>9</v>
      </c>
      <c r="B4" s="16" t="s">
        <v>8</v>
      </c>
    </row>
    <row r="5" spans="1:2" ht="26.25" customHeight="1" x14ac:dyDescent="0.25">
      <c r="A5" s="2" t="s">
        <v>10</v>
      </c>
      <c r="B5" s="8" t="s">
        <v>30</v>
      </c>
    </row>
    <row r="6" spans="1:2" ht="26.25" customHeight="1" x14ac:dyDescent="0.25">
      <c r="A6" s="2" t="s">
        <v>16</v>
      </c>
      <c r="B6" s="8" t="s">
        <v>40</v>
      </c>
    </row>
    <row r="7" spans="1:2" x14ac:dyDescent="0.25">
      <c r="A7" s="10"/>
      <c r="B7" s="10"/>
    </row>
    <row r="8" spans="1:2" hidden="1" x14ac:dyDescent="0.25">
      <c r="A8" s="5" t="s">
        <v>17</v>
      </c>
      <c r="B8" s="9">
        <v>5</v>
      </c>
    </row>
    <row r="9" spans="1:2" hidden="1" x14ac:dyDescent="0.25">
      <c r="A9" s="5" t="s">
        <v>18</v>
      </c>
      <c r="B9" s="9">
        <v>4</v>
      </c>
    </row>
    <row r="10" spans="1:2" hidden="1" x14ac:dyDescent="0.25">
      <c r="A10" s="5" t="s">
        <v>1</v>
      </c>
      <c r="B10" s="9">
        <v>1</v>
      </c>
    </row>
    <row r="11" spans="1:2" hidden="1" x14ac:dyDescent="0.25">
      <c r="A11" s="5" t="s">
        <v>2</v>
      </c>
      <c r="B11" s="9">
        <v>1</v>
      </c>
    </row>
    <row r="12" spans="1:2" hidden="1" x14ac:dyDescent="0.25">
      <c r="A12" s="5" t="s">
        <v>12</v>
      </c>
      <c r="B12" s="9" t="s">
        <v>39</v>
      </c>
    </row>
    <row r="13" spans="1:2" hidden="1" x14ac:dyDescent="0.25">
      <c r="A13" s="5" t="s">
        <v>15</v>
      </c>
      <c r="B13" s="9" t="s">
        <v>24</v>
      </c>
    </row>
    <row r="14" spans="1:2" hidden="1" x14ac:dyDescent="0.25">
      <c r="A14" s="5" t="s">
        <v>22</v>
      </c>
      <c r="B14" s="9" t="s">
        <v>27</v>
      </c>
    </row>
    <row r="15" spans="1:2" hidden="1" x14ac:dyDescent="0.25">
      <c r="A15" s="10"/>
      <c r="B15" s="10"/>
    </row>
    <row r="16" spans="1:2" hidden="1" x14ac:dyDescent="0.25">
      <c r="A16" s="10"/>
      <c r="B16" s="10"/>
    </row>
    <row r="17" spans="1:2" hidden="1" x14ac:dyDescent="0.25">
      <c r="A17" s="10"/>
      <c r="B17" s="10"/>
    </row>
    <row r="18" spans="1:2" hidden="1" x14ac:dyDescent="0.25">
      <c r="A18" s="10"/>
      <c r="B18" s="10"/>
    </row>
  </sheetData>
  <sheetProtection sheet="1" objects="1" scenarios="1" selectLockedCells="1"/>
  <mergeCells count="1">
    <mergeCell ref="A1:B1"/>
  </mergeCells>
  <dataValidations count="1">
    <dataValidation type="list" allowBlank="1" sqref="B4">
      <formula1>"Pass,Fail,Not fully positive,TBD,In progress"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L10"/>
  <sheetViews>
    <sheetView workbookViewId="0">
      <pane ySplit="1" topLeftCell="A2" activePane="bottomLeft" state="frozen"/>
      <selection pane="bottomLeft" sqref="A1:B1"/>
    </sheetView>
  </sheetViews>
  <sheetFormatPr defaultRowHeight="15" x14ac:dyDescent="0.25"/>
  <cols>
    <col min="1" max="4" width="5.7109375" customWidth="1"/>
    <col min="5" max="7" width="20.7109375" customWidth="1"/>
    <col min="8" max="8" width="15.7109375" customWidth="1"/>
    <col min="9" max="9" width="20.7109375" customWidth="1"/>
    <col min="12" max="12" width="9.7109375" bestFit="1" customWidth="1"/>
  </cols>
  <sheetData>
    <row r="1" spans="1:12" ht="30.75" customHeight="1" x14ac:dyDescent="0.25">
      <c r="A1" s="18" t="s">
        <v>0</v>
      </c>
      <c r="B1" s="18" t="s">
        <v>1</v>
      </c>
      <c r="C1" s="18" t="s">
        <v>2</v>
      </c>
      <c r="D1" s="18" t="s">
        <v>21</v>
      </c>
      <c r="E1" s="18" t="s">
        <v>9</v>
      </c>
      <c r="F1" s="18" t="s">
        <v>10</v>
      </c>
      <c r="G1" s="18" t="s">
        <v>19</v>
      </c>
      <c r="H1" s="18" t="s">
        <v>22</v>
      </c>
      <c r="I1" s="18" t="s">
        <v>23</v>
      </c>
    </row>
    <row r="2" spans="1:12" ht="60" x14ac:dyDescent="0.25">
      <c r="A2" s="6">
        <v>1</v>
      </c>
      <c r="B2" s="6">
        <v>1</v>
      </c>
      <c r="C2" s="6">
        <v>1</v>
      </c>
      <c r="D2" s="6"/>
      <c r="E2" s="6" t="s">
        <v>8</v>
      </c>
      <c r="F2" s="6" t="s">
        <v>30</v>
      </c>
      <c r="G2" s="6" t="s">
        <v>40</v>
      </c>
      <c r="H2" s="17" t="s">
        <v>27</v>
      </c>
      <c r="I2" s="12" t="s">
        <v>41</v>
      </c>
      <c r="L2" s="13"/>
    </row>
    <row r="3" spans="1:12" x14ac:dyDescent="0.25">
      <c r="A3" s="6">
        <v>2</v>
      </c>
      <c r="B3" s="6">
        <v>1</v>
      </c>
      <c r="C3" s="6">
        <v>2</v>
      </c>
      <c r="D3" s="6"/>
      <c r="E3" s="6"/>
      <c r="F3" s="6"/>
      <c r="G3" s="6"/>
      <c r="H3" s="17" t="s">
        <v>5</v>
      </c>
      <c r="I3" s="12"/>
    </row>
    <row r="4" spans="1:12" x14ac:dyDescent="0.25">
      <c r="A4" s="6">
        <v>3</v>
      </c>
      <c r="B4" s="6">
        <v>2</v>
      </c>
      <c r="C4" s="6">
        <v>2</v>
      </c>
      <c r="D4" s="6"/>
      <c r="E4" s="6"/>
      <c r="F4" s="6"/>
      <c r="G4" s="6"/>
      <c r="H4" s="17" t="s">
        <v>3</v>
      </c>
      <c r="I4" s="12"/>
    </row>
    <row r="5" spans="1:12" ht="30" x14ac:dyDescent="0.25">
      <c r="A5" s="6">
        <v>4</v>
      </c>
      <c r="B5" s="6">
        <v>5</v>
      </c>
      <c r="C5" s="6">
        <v>2</v>
      </c>
      <c r="D5" s="6"/>
      <c r="E5" s="6" t="s">
        <v>29</v>
      </c>
      <c r="F5" s="6"/>
      <c r="G5" s="6"/>
      <c r="H5" s="17" t="s">
        <v>34</v>
      </c>
      <c r="I5" s="12" t="s">
        <v>32</v>
      </c>
    </row>
    <row r="6" spans="1:12" ht="30" x14ac:dyDescent="0.25">
      <c r="A6" s="6">
        <v>5</v>
      </c>
      <c r="B6" s="6">
        <v>3</v>
      </c>
      <c r="C6" s="6">
        <v>1</v>
      </c>
      <c r="D6" s="6"/>
      <c r="E6" s="6" t="s">
        <v>8</v>
      </c>
      <c r="F6" s="6"/>
      <c r="G6" s="6"/>
      <c r="H6" s="17" t="s">
        <v>6</v>
      </c>
      <c r="I6" s="12" t="s">
        <v>33</v>
      </c>
    </row>
    <row r="7" spans="1:12" ht="30" x14ac:dyDescent="0.25">
      <c r="A7" s="6">
        <v>6</v>
      </c>
      <c r="B7" s="6">
        <v>3</v>
      </c>
      <c r="C7" s="6">
        <v>2</v>
      </c>
      <c r="D7" s="6"/>
      <c r="E7" s="6" t="s">
        <v>14</v>
      </c>
      <c r="F7" s="6"/>
      <c r="G7" s="6"/>
      <c r="H7" s="17" t="s">
        <v>35</v>
      </c>
      <c r="I7" s="12" t="s">
        <v>36</v>
      </c>
    </row>
    <row r="8" spans="1:12" ht="30" x14ac:dyDescent="0.25">
      <c r="A8" s="6">
        <v>7</v>
      </c>
      <c r="B8" s="6">
        <v>3</v>
      </c>
      <c r="C8" s="6">
        <v>3</v>
      </c>
      <c r="D8" s="6"/>
      <c r="E8" s="6" t="s">
        <v>28</v>
      </c>
      <c r="F8" s="6"/>
      <c r="G8" s="6"/>
      <c r="H8" s="17" t="s">
        <v>7</v>
      </c>
      <c r="I8" s="12" t="s">
        <v>37</v>
      </c>
    </row>
    <row r="9" spans="1:12" ht="30" x14ac:dyDescent="0.25">
      <c r="A9" s="6">
        <v>8</v>
      </c>
      <c r="B9" s="6">
        <v>3</v>
      </c>
      <c r="C9" s="6">
        <v>4</v>
      </c>
      <c r="D9" s="6"/>
      <c r="E9" s="6" t="s">
        <v>8</v>
      </c>
      <c r="F9" s="6"/>
      <c r="G9" s="6"/>
      <c r="H9" s="17" t="s">
        <v>4</v>
      </c>
      <c r="I9" s="12" t="s">
        <v>33</v>
      </c>
    </row>
    <row r="10" spans="1:12" ht="30" x14ac:dyDescent="0.25">
      <c r="A10" s="6">
        <v>9</v>
      </c>
      <c r="B10" s="6">
        <v>4</v>
      </c>
      <c r="C10" s="6">
        <v>1</v>
      </c>
      <c r="D10" s="6"/>
      <c r="E10" s="6" t="s">
        <v>14</v>
      </c>
      <c r="F10" s="6"/>
      <c r="G10" s="6"/>
      <c r="H10" s="17" t="s">
        <v>38</v>
      </c>
      <c r="I10" s="12" t="s">
        <v>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4.28515625" customWidth="1"/>
  </cols>
  <sheetData>
    <row r="1" spans="1:2" x14ac:dyDescent="0.25">
      <c r="A1" t="s">
        <v>0</v>
      </c>
      <c r="B1" t="s">
        <v>20</v>
      </c>
    </row>
    <row r="2" spans="1:2" ht="75" customHeight="1" x14ac:dyDescent="0.25">
      <c r="A2" s="1">
        <v>1</v>
      </c>
    </row>
    <row r="3" spans="1:2" ht="75" customHeight="1" x14ac:dyDescent="0.25">
      <c r="A3" s="1">
        <v>2</v>
      </c>
    </row>
    <row r="4" spans="1:2" ht="75" customHeight="1" x14ac:dyDescent="0.25">
      <c r="A4" s="1">
        <v>3</v>
      </c>
    </row>
    <row r="5" spans="1:2" ht="75" customHeight="1" x14ac:dyDescent="0.25">
      <c r="A5" s="1">
        <v>4</v>
      </c>
    </row>
    <row r="6" spans="1:2" ht="75" customHeight="1" x14ac:dyDescent="0.25">
      <c r="A6" s="1">
        <v>5</v>
      </c>
    </row>
    <row r="7" spans="1:2" ht="75" customHeight="1" x14ac:dyDescent="0.25">
      <c r="A7" s="1">
        <v>6</v>
      </c>
    </row>
    <row r="8" spans="1:2" ht="75" customHeight="1" x14ac:dyDescent="0.25">
      <c r="A8" s="1">
        <v>7</v>
      </c>
    </row>
    <row r="9" spans="1:2" ht="75" customHeight="1" x14ac:dyDescent="0.25"/>
    <row r="10" spans="1:2" ht="75" customHeight="1" x14ac:dyDescent="0.25"/>
    <row r="11" spans="1:2" ht="75" customHeight="1" x14ac:dyDescent="0.25"/>
    <row r="12" spans="1:2" ht="75" customHeight="1" x14ac:dyDescent="0.25"/>
    <row r="13" spans="1:2" ht="75" customHeight="1" x14ac:dyDescent="0.25"/>
    <row r="14" spans="1:2" ht="75" customHeight="1" x14ac:dyDescent="0.25"/>
    <row r="15" spans="1:2" ht="75" customHeight="1" x14ac:dyDescent="0.25"/>
    <row r="16" spans="1:2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C2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3" width="26.85546875" customWidth="1"/>
  </cols>
  <sheetData>
    <row r="1" spans="1:3" x14ac:dyDescent="0.25">
      <c r="A1" s="1" t="s">
        <v>42</v>
      </c>
      <c r="B1" s="1" t="s">
        <v>43</v>
      </c>
      <c r="C1" s="1" t="s">
        <v>44</v>
      </c>
    </row>
    <row r="2" spans="1:3" ht="30" x14ac:dyDescent="0.25">
      <c r="A2" s="12" t="s">
        <v>51</v>
      </c>
      <c r="B2" s="12"/>
      <c r="C2" s="12" t="s">
        <v>46</v>
      </c>
    </row>
    <row r="3" spans="1:3" ht="30" x14ac:dyDescent="0.25">
      <c r="A3" s="12" t="s">
        <v>52</v>
      </c>
      <c r="B3" s="12"/>
      <c r="C3" s="12" t="s">
        <v>45</v>
      </c>
    </row>
    <row r="4" spans="1:3" x14ac:dyDescent="0.25">
      <c r="A4" s="12" t="s">
        <v>53</v>
      </c>
      <c r="B4" s="12"/>
      <c r="C4" s="12" t="s">
        <v>47</v>
      </c>
    </row>
    <row r="5" spans="1:3" ht="30" x14ac:dyDescent="0.25">
      <c r="A5" s="12" t="s">
        <v>54</v>
      </c>
      <c r="B5" s="12"/>
      <c r="C5" s="12" t="s">
        <v>48</v>
      </c>
    </row>
    <row r="6" spans="1:3" x14ac:dyDescent="0.25">
      <c r="A6" s="12"/>
      <c r="B6" s="12"/>
      <c r="C6" s="12" t="s">
        <v>49</v>
      </c>
    </row>
    <row r="7" spans="1:3" ht="30" x14ac:dyDescent="0.25">
      <c r="A7" s="12"/>
      <c r="B7" s="12"/>
      <c r="C7" s="12" t="s">
        <v>50</v>
      </c>
    </row>
    <row r="8" spans="1:3" x14ac:dyDescent="0.25">
      <c r="A8" s="12"/>
      <c r="B8" s="12"/>
      <c r="C8" s="12"/>
    </row>
    <row r="9" spans="1:3" x14ac:dyDescent="0.25">
      <c r="A9" s="12"/>
      <c r="B9" s="12"/>
      <c r="C9" s="12"/>
    </row>
    <row r="10" spans="1:3" x14ac:dyDescent="0.25">
      <c r="A10" s="12"/>
      <c r="B10" s="12"/>
      <c r="C10" s="12"/>
    </row>
    <row r="11" spans="1:3" x14ac:dyDescent="0.25">
      <c r="A11" s="12"/>
      <c r="B11" s="12"/>
      <c r="C11" s="12"/>
    </row>
    <row r="12" spans="1:3" x14ac:dyDescent="0.25">
      <c r="A12" s="12"/>
      <c r="B12" s="12"/>
      <c r="C12" s="12"/>
    </row>
    <row r="13" spans="1:3" x14ac:dyDescent="0.25">
      <c r="A13" s="12"/>
      <c r="B13" s="12"/>
      <c r="C13" s="12"/>
    </row>
    <row r="14" spans="1:3" x14ac:dyDescent="0.25">
      <c r="A14" s="12"/>
      <c r="B14" s="12"/>
      <c r="C14" s="12"/>
    </row>
    <row r="15" spans="1:3" x14ac:dyDescent="0.25">
      <c r="A15" s="12"/>
      <c r="B15" s="12"/>
      <c r="C15" s="12"/>
    </row>
    <row r="16" spans="1:3" x14ac:dyDescent="0.25">
      <c r="A16" s="12"/>
      <c r="B16" s="12"/>
      <c r="C16" s="12"/>
    </row>
    <row r="17" spans="1:3" x14ac:dyDescent="0.25">
      <c r="A17" s="12"/>
      <c r="B17" s="12"/>
      <c r="C17" s="12"/>
    </row>
    <row r="18" spans="1:3" x14ac:dyDescent="0.25">
      <c r="A18" s="12"/>
      <c r="B18" s="12"/>
      <c r="C18" s="12"/>
    </row>
    <row r="19" spans="1:3" x14ac:dyDescent="0.25">
      <c r="A19" s="12"/>
      <c r="B19" s="12"/>
      <c r="C19" s="12"/>
    </row>
    <row r="20" spans="1:3" x14ac:dyDescent="0.25">
      <c r="A20" s="12"/>
      <c r="B20" s="12"/>
      <c r="C20" s="12"/>
    </row>
    <row r="21" spans="1:3" x14ac:dyDescent="0.25">
      <c r="A21" s="12"/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12"/>
      <c r="B24" s="12"/>
      <c r="C24" s="12"/>
    </row>
    <row r="25" spans="1:3" x14ac:dyDescent="0.25">
      <c r="A25" s="12"/>
      <c r="B25" s="12"/>
      <c r="C25" s="12"/>
    </row>
    <row r="26" spans="1:3" x14ac:dyDescent="0.25">
      <c r="A26" s="12"/>
      <c r="B26" s="12"/>
      <c r="C26" s="12"/>
    </row>
    <row r="27" spans="1:3" x14ac:dyDescent="0.25">
      <c r="A27" s="12"/>
      <c r="B27" s="12"/>
      <c r="C27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I6"/>
  <sheetViews>
    <sheetView tabSelected="1" workbookViewId="0"/>
  </sheetViews>
  <sheetFormatPr defaultRowHeight="15" x14ac:dyDescent="0.25"/>
  <cols>
    <col min="2" max="2" width="24.42578125" customWidth="1"/>
    <col min="3" max="3" width="16.7109375" customWidth="1"/>
    <col min="4" max="4" width="21.42578125" customWidth="1"/>
    <col min="5" max="5" width="16" customWidth="1"/>
    <col min="6" max="6" width="14.85546875" customWidth="1"/>
    <col min="7" max="7" width="15.7109375" customWidth="1"/>
    <col min="8" max="8" width="14.42578125" customWidth="1"/>
  </cols>
  <sheetData>
    <row r="1" spans="1:9" x14ac:dyDescent="0.25">
      <c r="A1" s="22" t="s">
        <v>0</v>
      </c>
      <c r="B1" s="23" t="s">
        <v>60</v>
      </c>
      <c r="C1" s="23" t="s">
        <v>55</v>
      </c>
      <c r="D1" s="23" t="s">
        <v>56</v>
      </c>
      <c r="E1" s="23" t="s">
        <v>63</v>
      </c>
      <c r="F1" s="23" t="s">
        <v>57</v>
      </c>
      <c r="G1" s="23" t="s">
        <v>58</v>
      </c>
      <c r="H1" s="23" t="s">
        <v>59</v>
      </c>
      <c r="I1" s="25" t="s">
        <v>72</v>
      </c>
    </row>
    <row r="2" spans="1:9" x14ac:dyDescent="0.25">
      <c r="A2" s="6">
        <v>1</v>
      </c>
      <c r="B2" s="6" t="s">
        <v>40</v>
      </c>
      <c r="C2" s="1" t="s">
        <v>40</v>
      </c>
      <c r="D2" s="1" t="s">
        <v>61</v>
      </c>
      <c r="E2" s="1" t="s">
        <v>62</v>
      </c>
      <c r="F2" s="1" t="s">
        <v>64</v>
      </c>
      <c r="G2" s="1" t="s">
        <v>65</v>
      </c>
      <c r="H2" s="1" t="s">
        <v>67</v>
      </c>
      <c r="I2" s="6"/>
    </row>
    <row r="3" spans="1:9" x14ac:dyDescent="0.25">
      <c r="A3" s="6">
        <v>2</v>
      </c>
      <c r="B3" s="6" t="s">
        <v>68</v>
      </c>
      <c r="C3" s="1" t="s">
        <v>40</v>
      </c>
      <c r="D3" s="1" t="s">
        <v>61</v>
      </c>
      <c r="E3" s="1" t="s">
        <v>62</v>
      </c>
      <c r="F3" s="1" t="s">
        <v>64</v>
      </c>
      <c r="G3" s="1" t="s">
        <v>65</v>
      </c>
      <c r="H3" s="1" t="s">
        <v>66</v>
      </c>
      <c r="I3" s="6"/>
    </row>
    <row r="4" spans="1:9" x14ac:dyDescent="0.25">
      <c r="A4" s="6">
        <v>3</v>
      </c>
      <c r="B4" s="6" t="s">
        <v>69</v>
      </c>
      <c r="C4" s="1" t="s">
        <v>69</v>
      </c>
      <c r="D4" s="1" t="s">
        <v>61</v>
      </c>
      <c r="E4" s="1" t="s">
        <v>62</v>
      </c>
      <c r="F4" s="1" t="s">
        <v>64</v>
      </c>
      <c r="G4" s="1" t="s">
        <v>65</v>
      </c>
      <c r="H4" s="1" t="s">
        <v>67</v>
      </c>
      <c r="I4" s="6"/>
    </row>
    <row r="5" spans="1:9" x14ac:dyDescent="0.25">
      <c r="A5" s="6">
        <v>4</v>
      </c>
      <c r="B5" s="6" t="s">
        <v>70</v>
      </c>
      <c r="C5" s="1" t="s">
        <v>69</v>
      </c>
      <c r="D5" s="1" t="s">
        <v>61</v>
      </c>
      <c r="E5" s="1" t="s">
        <v>62</v>
      </c>
      <c r="F5" s="1" t="s">
        <v>64</v>
      </c>
      <c r="G5" s="1" t="s">
        <v>65</v>
      </c>
      <c r="H5" s="1" t="s">
        <v>67</v>
      </c>
      <c r="I5" s="6">
        <v>1</v>
      </c>
    </row>
    <row r="6" spans="1:9" x14ac:dyDescent="0.25">
      <c r="A6" s="6">
        <v>5</v>
      </c>
      <c r="B6" s="6" t="s">
        <v>71</v>
      </c>
      <c r="C6" s="1" t="s">
        <v>69</v>
      </c>
      <c r="D6" s="1" t="s">
        <v>61</v>
      </c>
      <c r="E6" s="1" t="s">
        <v>62</v>
      </c>
      <c r="F6" s="1" t="s">
        <v>64</v>
      </c>
      <c r="G6" s="1" t="s">
        <v>65</v>
      </c>
      <c r="H6" s="1" t="s">
        <v>66</v>
      </c>
      <c r="I6" s="6">
        <v>2</v>
      </c>
    </row>
  </sheetData>
  <dataValidations count="3">
    <dataValidation type="list" allowBlank="1" sqref="H2:H6">
      <formula1>"Screw,Screwless,IPT,Other"</formula1>
    </dataValidation>
    <dataValidation type="list" allowBlank="1" sqref="E2:E6">
      <formula1>"Socket,Switch,Eletronic,Accessories"</formula1>
    </dataValidation>
    <dataValidation allowBlank="1" sqref="I2:I6"/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13</vt:i4>
      </vt:variant>
    </vt:vector>
  </HeadingPairs>
  <TitlesOfParts>
    <vt:vector size="19" baseType="lpstr">
      <vt:lpstr>matrice_ui</vt:lpstr>
      <vt:lpstr>edit_cella</vt:lpstr>
      <vt:lpstr>db</vt:lpstr>
      <vt:lpstr>images</vt:lpstr>
      <vt:lpstr>my_tasks</vt:lpstr>
      <vt:lpstr>prodotti</vt:lpstr>
      <vt:lpstr>_cellaIdProdotti</vt:lpstr>
      <vt:lpstr>_colonna</vt:lpstr>
      <vt:lpstr>_coverBy</vt:lpstr>
      <vt:lpstr>_documento</vt:lpstr>
      <vt:lpstr>_esito</vt:lpstr>
      <vt:lpstr>_idProdotto</vt:lpstr>
      <vt:lpstr>_idRequisito</vt:lpstr>
      <vt:lpstr>_key</vt:lpstr>
      <vt:lpstr>_primaCella</vt:lpstr>
      <vt:lpstr>_prodotto</vt:lpstr>
      <vt:lpstr>_requisito</vt:lpstr>
      <vt:lpstr>_riga</vt:lpstr>
      <vt:lpstr>matrice_ui!Titoli_stampa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cp:lastPrinted>2021-11-14T12:48:12Z</cp:lastPrinted>
  <dcterms:created xsi:type="dcterms:W3CDTF">2021-10-13T17:16:05Z</dcterms:created>
  <dcterms:modified xsi:type="dcterms:W3CDTF">2021-11-14T16:31:04Z</dcterms:modified>
</cp:coreProperties>
</file>