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Questa_cartella_di_lavoro" defaultThemeVersion="124226"/>
  <bookViews>
    <workbookView xWindow="240" yWindow="60" windowWidth="20115" windowHeight="8010"/>
  </bookViews>
  <sheets>
    <sheet name="matrice_ui" sheetId="9" r:id="rId1"/>
    <sheet name="edit_cella" sheetId="10" r:id="rId2"/>
    <sheet name="db" sheetId="11" r:id="rId3"/>
    <sheet name="images" sheetId="12" r:id="rId4"/>
  </sheets>
  <functionGroups builtInGroupCount="17"/>
  <definedNames>
    <definedName name="_cellaIdProdotti">matrice_ui!$A$2</definedName>
    <definedName name="_colonna">edit_cella!$B$9</definedName>
    <definedName name="_coverBy">edit_cella!$B$6</definedName>
    <definedName name="_documento">edit_cella!$B$5</definedName>
    <definedName name="_esito">edit_cella!$B$4</definedName>
    <definedName name="_xlnm._FilterDatabase" localSheetId="0" hidden="1">matrice_ui!$A$4:$G$24</definedName>
    <definedName name="_idProdotto">edit_cella!$B$11</definedName>
    <definedName name="_idRequisito">edit_cella!$B$10</definedName>
    <definedName name="_key">edit_cella!$B$14</definedName>
    <definedName name="_primaCella">matrice_ui!$A$4</definedName>
    <definedName name="_prodotto">edit_cella!$B$13</definedName>
    <definedName name="_requisito">edit_cella!$B$12</definedName>
    <definedName name="_riga">edit_cella!$B$8</definedName>
    <definedName name="COLONNA_ID_REQUISITO">COLUMN(_primaCella)</definedName>
    <definedName name="_xlnm.Print_Titles" localSheetId="0">matrice_ui!$A:$B,matrice_ui!$1:$4</definedName>
  </definedNames>
  <calcPr calcId="144525"/>
</workbook>
</file>

<file path=xl/calcChain.xml><?xml version="1.0" encoding="utf-8"?>
<calcChain xmlns="http://schemas.openxmlformats.org/spreadsheetml/2006/main">
  <c r="B6" i="9" l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5" i="9"/>
  <c r="F6" i="9"/>
  <c r="E6" i="9"/>
  <c r="D6" i="9"/>
  <c r="G6" i="9"/>
  <c r="G24" i="9"/>
  <c r="G23" i="9"/>
  <c r="G22" i="9"/>
  <c r="G21" i="9"/>
  <c r="G20" i="9"/>
  <c r="G19" i="9"/>
  <c r="G18" i="9"/>
  <c r="G17" i="9"/>
  <c r="G15" i="9"/>
  <c r="G14" i="9"/>
  <c r="G12" i="9"/>
  <c r="G10" i="9"/>
  <c r="G8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E16" i="9"/>
  <c r="E14" i="9"/>
  <c r="E12" i="9"/>
  <c r="E10" i="9"/>
  <c r="E8" i="9"/>
  <c r="E24" i="9"/>
  <c r="E23" i="9"/>
  <c r="E22" i="9"/>
  <c r="E21" i="9"/>
  <c r="E20" i="9"/>
  <c r="E19" i="9"/>
  <c r="E18" i="9"/>
  <c r="E17" i="9"/>
  <c r="E15" i="9"/>
  <c r="E13" i="9"/>
  <c r="E11" i="9"/>
  <c r="E9" i="9"/>
  <c r="E7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G16" i="9"/>
  <c r="G13" i="9"/>
  <c r="G11" i="9"/>
  <c r="G9" i="9"/>
  <c r="G7" i="9"/>
  <c r="G5" i="9"/>
  <c r="F5" i="9"/>
  <c r="E5" i="9"/>
  <c r="D5" i="9"/>
  <c r="B3" i="10" l="1"/>
  <c r="B2" i="10"/>
</calcChain>
</file>

<file path=xl/sharedStrings.xml><?xml version="1.0" encoding="utf-8"?>
<sst xmlns="http://schemas.openxmlformats.org/spreadsheetml/2006/main" count="58" uniqueCount="41">
  <si>
    <t>Id</t>
  </si>
  <si>
    <t>IdRequisito</t>
  </si>
  <si>
    <t>IdProdotto</t>
  </si>
  <si>
    <t>K_2_2</t>
  </si>
  <si>
    <t>K_3_4</t>
  </si>
  <si>
    <t>K_1_2</t>
  </si>
  <si>
    <t>K_3_1</t>
  </si>
  <si>
    <t>K_3_3</t>
  </si>
  <si>
    <t>Pass</t>
  </si>
  <si>
    <t>Esito</t>
  </si>
  <si>
    <t>Documento</t>
  </si>
  <si>
    <t>Id Requisito</t>
  </si>
  <si>
    <t>Requisito</t>
  </si>
  <si>
    <t>Prodotto 2</t>
  </si>
  <si>
    <t>Not fully positive</t>
  </si>
  <si>
    <t>Prodotto</t>
  </si>
  <si>
    <t>Cover by</t>
  </si>
  <si>
    <t>Riga</t>
  </si>
  <si>
    <t>Colonna</t>
  </si>
  <si>
    <t>CoverBy</t>
  </si>
  <si>
    <t>Image</t>
  </si>
  <si>
    <t>IdImage</t>
  </si>
  <si>
    <t>Key</t>
  </si>
  <si>
    <t>Text</t>
  </si>
  <si>
    <t>Prodotto 1</t>
  </si>
  <si>
    <t>Prodotto 4</t>
  </si>
  <si>
    <t>Prodotto 3</t>
  </si>
  <si>
    <t>K_1_1</t>
  </si>
  <si>
    <t>TBD</t>
  </si>
  <si>
    <t>In progress</t>
  </si>
  <si>
    <t>rp21lab0114</t>
  </si>
  <si>
    <t xml:space="preserve">Pass_x000D_
rp21lab0114_x000D_
</t>
  </si>
  <si>
    <t>Chapter</t>
  </si>
  <si>
    <t xml:space="preserve">In progress_x000D_
</t>
  </si>
  <si>
    <t xml:space="preserve">Pass_x000D_
</t>
  </si>
  <si>
    <t>K_5_2</t>
  </si>
  <si>
    <t>Cap. 5</t>
  </si>
  <si>
    <t>K_3_2</t>
  </si>
  <si>
    <t xml:space="preserve">Not fully positive_x000D_
</t>
  </si>
  <si>
    <t xml:space="preserve">TBD_x000D_
</t>
  </si>
  <si>
    <t>K_4_1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</si>
</sst>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left" vertical="top" wrapText="1"/>
    </xf>
    <xf numFmtId="0" fontId="3" fillId="0" borderId="1" xfId="0" applyFont="1" applyFill="1" applyBorder="1" applyAlignment="1">
      <alignment vertical="center" wrapText="1"/>
    </xf>
    <xf numFmtId="49" fontId="1" fillId="0" borderId="1" xfId="0" applyNumberFormat="1" applyFont="1" applyBorder="1" applyAlignment="1">
      <alignment horizontal="left" vertical="top" wrapText="1"/>
    </xf>
  </cellXfs>
  <cellStyles count="1">
    <cellStyle name="Normale" xfId="0" builtinId="0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alignment horizontal="left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0</xdr:row>
      <xdr:rowOff>19050</xdr:rowOff>
    </xdr:from>
    <xdr:to>
      <xdr:col>1</xdr:col>
      <xdr:colOff>1377526</xdr:colOff>
      <xdr:row>0</xdr:row>
      <xdr:rowOff>883050</xdr:rowOff>
    </xdr:to>
    <xdr:sp macro="[0]!EditCella" textlink="">
      <xdr:nvSpPr>
        <xdr:cNvPr id="2" name="Rettangolo 1"/>
        <xdr:cNvSpPr/>
      </xdr:nvSpPr>
      <xdr:spPr>
        <a:xfrm>
          <a:off x="9526" y="19050"/>
          <a:ext cx="1368000" cy="864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>
              <a:solidFill>
                <a:schemeClr val="tx1"/>
              </a:solidFill>
            </a:rPr>
            <a:t>Edit cell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1008000</xdr:colOff>
      <xdr:row>0</xdr:row>
      <xdr:rowOff>360000</xdr:rowOff>
    </xdr:to>
    <xdr:sp macro="[0]!MostraPageMatrice" textlink="">
      <xdr:nvSpPr>
        <xdr:cNvPr id="2" name="Rettangolo 1"/>
        <xdr:cNvSpPr/>
      </xdr:nvSpPr>
      <xdr:spPr>
        <a:xfrm>
          <a:off x="0" y="0"/>
          <a:ext cx="1008000" cy="360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Back</a:t>
          </a:r>
        </a:p>
      </xdr:txBody>
    </xdr:sp>
    <xdr:clientData fPrintsWithSheet="0"/>
  </xdr:twoCellAnchor>
  <xdr:twoCellAnchor editAs="absolute">
    <xdr:from>
      <xdr:col>1</xdr:col>
      <xdr:colOff>314325</xdr:colOff>
      <xdr:row>0</xdr:row>
      <xdr:rowOff>0</xdr:rowOff>
    </xdr:from>
    <xdr:to>
      <xdr:col>1</xdr:col>
      <xdr:colOff>1754325</xdr:colOff>
      <xdr:row>0</xdr:row>
      <xdr:rowOff>360000</xdr:rowOff>
    </xdr:to>
    <xdr:sp macro="[0]!SaveCella" textlink="">
      <xdr:nvSpPr>
        <xdr:cNvPr id="3" name="Rettangolo 2"/>
        <xdr:cNvSpPr/>
      </xdr:nvSpPr>
      <xdr:spPr>
        <a:xfrm>
          <a:off x="1571625" y="0"/>
          <a:ext cx="1440000" cy="360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 b="1">
              <a:solidFill>
                <a:schemeClr val="tx1"/>
              </a:solidFill>
            </a:rPr>
            <a:t>Save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</xdr:col>
      <xdr:colOff>828000</xdr:colOff>
      <xdr:row>2</xdr:row>
      <xdr:rowOff>828000</xdr:rowOff>
    </xdr:to>
    <xdr:sp macro="" textlink="">
      <xdr:nvSpPr>
        <xdr:cNvPr id="9" name="Rettangolo 8"/>
        <xdr:cNvSpPr/>
      </xdr:nvSpPr>
      <xdr:spPr>
        <a:xfrm>
          <a:off x="609600" y="1143000"/>
          <a:ext cx="828000" cy="828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828000</xdr:colOff>
      <xdr:row>3</xdr:row>
      <xdr:rowOff>828000</xdr:rowOff>
    </xdr:to>
    <xdr:sp macro="" textlink="">
      <xdr:nvSpPr>
        <xdr:cNvPr id="10" name="Rettangolo 9"/>
        <xdr:cNvSpPr/>
      </xdr:nvSpPr>
      <xdr:spPr>
        <a:xfrm>
          <a:off x="609600" y="2095500"/>
          <a:ext cx="828000" cy="8280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828000</xdr:colOff>
      <xdr:row>4</xdr:row>
      <xdr:rowOff>828000</xdr:rowOff>
    </xdr:to>
    <xdr:sp macro="" textlink="">
      <xdr:nvSpPr>
        <xdr:cNvPr id="11" name="Rettangolo 10"/>
        <xdr:cNvSpPr/>
      </xdr:nvSpPr>
      <xdr:spPr>
        <a:xfrm>
          <a:off x="609600" y="3048000"/>
          <a:ext cx="828000" cy="828000"/>
        </a:xfrm>
        <a:prstGeom prst="rect">
          <a:avLst/>
        </a:prstGeom>
        <a:solidFill>
          <a:schemeClr val="bg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1</xdr:col>
      <xdr:colOff>828000</xdr:colOff>
      <xdr:row>5</xdr:row>
      <xdr:rowOff>828000</xdr:rowOff>
    </xdr:to>
    <xdr:sp macro="" textlink="">
      <xdr:nvSpPr>
        <xdr:cNvPr id="12" name="Rettangolo 11"/>
        <xdr:cNvSpPr/>
      </xdr:nvSpPr>
      <xdr:spPr>
        <a:xfrm>
          <a:off x="609600" y="4000500"/>
          <a:ext cx="828000" cy="8280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1</xdr:col>
      <xdr:colOff>828000</xdr:colOff>
      <xdr:row>6</xdr:row>
      <xdr:rowOff>828000</xdr:rowOff>
    </xdr:to>
    <xdr:sp macro="" textlink="">
      <xdr:nvSpPr>
        <xdr:cNvPr id="13" name="Rettangolo 12"/>
        <xdr:cNvSpPr/>
      </xdr:nvSpPr>
      <xdr:spPr>
        <a:xfrm>
          <a:off x="609600" y="4953000"/>
          <a:ext cx="828000" cy="82800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828000</xdr:colOff>
      <xdr:row>7</xdr:row>
      <xdr:rowOff>828000</xdr:rowOff>
    </xdr:to>
    <xdr:sp macro="" textlink="">
      <xdr:nvSpPr>
        <xdr:cNvPr id="14" name="Rettangolo 13"/>
        <xdr:cNvSpPr/>
      </xdr:nvSpPr>
      <xdr:spPr>
        <a:xfrm>
          <a:off x="609600" y="5905500"/>
          <a:ext cx="828000" cy="828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1</xdr:col>
      <xdr:colOff>828000</xdr:colOff>
      <xdr:row>1</xdr:row>
      <xdr:rowOff>828000</xdr:rowOff>
    </xdr:to>
    <xdr:sp macro="" textlink="">
      <xdr:nvSpPr>
        <xdr:cNvPr id="15" name="Rettangolo 14"/>
        <xdr:cNvSpPr/>
      </xdr:nvSpPr>
      <xdr:spPr>
        <a:xfrm>
          <a:off x="609600" y="190500"/>
          <a:ext cx="828000" cy="828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.db" displayName="Tab.db" ref="A1:I10" totalsRowShown="0" headerRowDxfId="6" dataDxfId="15">
  <autoFilter ref="A1:I10"/>
  <tableColumns count="9">
    <tableColumn id="1" name="Id" dataDxfId="14"/>
    <tableColumn id="2" name="IdRequisito" dataDxfId="13"/>
    <tableColumn id="3" name="IdProdotto" dataDxfId="12"/>
    <tableColumn id="4" name="IdImage" dataDxfId="11"/>
    <tableColumn id="7" name="Esito" dataDxfId="10"/>
    <tableColumn id="8" name="Documento" dataDxfId="9"/>
    <tableColumn id="9" name="CoverBy" dataDxfId="8"/>
    <tableColumn id="10" name="Key" dataDxfId="7"/>
    <tableColumn id="6" name="Text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matrice"/>
  <dimension ref="A1:G24"/>
  <sheetViews>
    <sheetView showGridLines="0" tabSelected="1" zoomScale="85" zoomScaleNormal="85" workbookViewId="0">
      <pane xSplit="2" ySplit="4" topLeftCell="C5" activePane="bottomRight" state="frozen"/>
      <selection pane="topRight" activeCell="C1" sqref="C1"/>
      <selection pane="bottomLeft" activeCell="A2" sqref="A2"/>
      <selection pane="bottomRight" activeCell="B4" sqref="B4"/>
    </sheetView>
  </sheetViews>
  <sheetFormatPr defaultRowHeight="15" x14ac:dyDescent="0.25"/>
  <cols>
    <col min="1" max="1" width="11.5703125" hidden="1" customWidth="1"/>
    <col min="2" max="2" width="20.7109375" customWidth="1"/>
    <col min="3" max="3" width="32.28515625" customWidth="1"/>
    <col min="4" max="7" width="14.7109375" customWidth="1"/>
  </cols>
  <sheetData>
    <row r="1" spans="1:7" ht="69.95" customHeight="1" x14ac:dyDescent="0.25">
      <c r="A1" s="21"/>
      <c r="B1" s="21"/>
      <c r="C1" s="21"/>
      <c r="D1" s="11"/>
      <c r="E1" s="11"/>
      <c r="F1" s="11"/>
      <c r="G1" s="11"/>
    </row>
    <row r="2" spans="1:7" hidden="1" x14ac:dyDescent="0.25">
      <c r="A2" s="3"/>
      <c r="B2" s="3"/>
      <c r="C2" s="4"/>
      <c r="D2" s="3">
        <v>1</v>
      </c>
      <c r="E2" s="3">
        <v>2</v>
      </c>
      <c r="F2" s="3">
        <v>3</v>
      </c>
      <c r="G2" s="3">
        <v>4</v>
      </c>
    </row>
    <row r="3" spans="1:7" ht="5.0999999999999996" customHeight="1" x14ac:dyDescent="0.25"/>
    <row r="4" spans="1:7" ht="36" customHeight="1" x14ac:dyDescent="0.25">
      <c r="A4" s="15" t="s">
        <v>11</v>
      </c>
      <c r="B4" s="15" t="s">
        <v>32</v>
      </c>
      <c r="C4" s="15" t="s">
        <v>12</v>
      </c>
      <c r="D4" s="15" t="s">
        <v>24</v>
      </c>
      <c r="E4" s="15" t="s">
        <v>13</v>
      </c>
      <c r="F4" s="15" t="s">
        <v>26</v>
      </c>
      <c r="G4" s="15" t="s">
        <v>25</v>
      </c>
    </row>
    <row r="5" spans="1:7" ht="36" customHeight="1" x14ac:dyDescent="0.25">
      <c r="A5" s="4">
        <v>1</v>
      </c>
      <c r="B5" s="16" t="str">
        <f>CONCATENATE("Cap. ",A5)</f>
        <v>Cap. 1</v>
      </c>
      <c r="C5" s="16" t="str">
        <f>CONCATENATE("Requisito ",A5)</f>
        <v>Requisito 1</v>
      </c>
      <c r="D5" s="22" t="str">
        <f>IFERROR(INDEX(Tab.db[Text],MATCH(My_CreaKeyCella($A5,D$2),Tab.db[Key],0)),"")</f>
        <v xml:space="preserve">Pass_x000D_
rp21lab0114_x000D_
</v>
      </c>
      <c r="E5" s="22">
        <f>IFERROR(INDEX(Tab.db[Text],MATCH(My_CreaKeyCella($A5,E$2),Tab.db[Key],0)),"")</f>
        <v>0</v>
      </c>
      <c r="F5" s="22" t="str">
        <f>IFERROR(INDEX(Tab.db[Text],MATCH(My_CreaKeyCella($A5,F$2),Tab.db[Key],0)),"")</f>
        <v/>
      </c>
      <c r="G5" s="22" t="str">
        <f>IFERROR(INDEX(Tab.db[Text],MATCH(My_CreaKeyCella($A5,G$2),Tab.db[Key],0)),"")</f>
        <v/>
      </c>
    </row>
    <row r="6" spans="1:7" ht="36" customHeight="1" x14ac:dyDescent="0.25">
      <c r="A6" s="4">
        <v>2</v>
      </c>
      <c r="B6" s="16" t="str">
        <f t="shared" ref="B6:B24" si="0">CONCATENATE("Cap. ",A6)</f>
        <v>Cap. 2</v>
      </c>
      <c r="C6" s="16" t="str">
        <f t="shared" ref="C6:C24" si="1">CONCATENATE("Requisito ",A6)</f>
        <v>Requisito 2</v>
      </c>
      <c r="D6" s="22" t="str">
        <f>IFERROR(INDEX(Tab.db[Text],MATCH(My_CreaKeyCella($A6,D$2),Tab.db[Key],0)),"")</f>
        <v/>
      </c>
      <c r="E6" s="22">
        <f>IFERROR(INDEX(Tab.db[Text],MATCH(My_CreaKeyCella($A6,E$2),Tab.db[Key],0)),"")</f>
        <v>0</v>
      </c>
      <c r="F6" s="22" t="str">
        <f>IFERROR(INDEX(Tab.db[Text],MATCH(My_CreaKeyCella($A6,F$2),Tab.db[Key],0)),"")</f>
        <v/>
      </c>
      <c r="G6" s="22" t="str">
        <f>IFERROR(INDEX(Tab.db[Text],MATCH(My_CreaKeyCella($A6,G$2),Tab.db[Key],0)),"")</f>
        <v/>
      </c>
    </row>
    <row r="7" spans="1:7" ht="36" customHeight="1" x14ac:dyDescent="0.25">
      <c r="A7" s="4">
        <v>3</v>
      </c>
      <c r="B7" s="16" t="str">
        <f t="shared" si="0"/>
        <v>Cap. 3</v>
      </c>
      <c r="C7" s="16" t="str">
        <f t="shared" si="1"/>
        <v>Requisito 3</v>
      </c>
      <c r="D7" s="20" t="str">
        <f>IFERROR(INDEX(Tab.db[Text],MATCH(My_CreaKeyCella($A7,D$2),Tab.db[Key],0)),"")</f>
        <v xml:space="preserve">Pass_x000D_
</v>
      </c>
      <c r="E7" s="20" t="str">
        <f>IFERROR(INDEX(Tab.db[Text],MATCH(My_CreaKeyCella($A7,E$2),Tab.db[Key],0)),"")</f>
        <v xml:space="preserve">Not fully positive_x000D_
</v>
      </c>
      <c r="F7" s="20" t="str">
        <f>IFERROR(INDEX(Tab.db[Text],MATCH(My_CreaKeyCella($A7,F$2),Tab.db[Key],0)),"")</f>
        <v xml:space="preserve">TBD_x000D_
</v>
      </c>
      <c r="G7" s="20" t="str">
        <f>IFERROR(INDEX(Tab.db[Text],MATCH(My_CreaKeyCella($A7,G$2),Tab.db[Key],0)),"")</f>
        <v xml:space="preserve">Pass_x000D_
</v>
      </c>
    </row>
    <row r="8" spans="1:7" ht="36" customHeight="1" x14ac:dyDescent="0.25">
      <c r="A8" s="4">
        <v>4</v>
      </c>
      <c r="B8" s="16" t="str">
        <f t="shared" si="0"/>
        <v>Cap. 4</v>
      </c>
      <c r="C8" s="16" t="str">
        <f t="shared" si="1"/>
        <v>Requisito 4</v>
      </c>
      <c r="D8" s="20" t="str">
        <f>IFERROR(INDEX(Tab.db[Text],MATCH(My_CreaKeyCella($A8,D$2),Tab.db[Key],0)),"")</f>
        <v xml:space="preserve">Not fully positive_x000D_
</v>
      </c>
      <c r="E8" s="20" t="str">
        <f>IFERROR(INDEX(Tab.db[Text],MATCH(My_CreaKeyCella($A8,E$2),Tab.db[Key],0)),"")</f>
        <v/>
      </c>
      <c r="F8" s="20" t="str">
        <f>IFERROR(INDEX(Tab.db[Text],MATCH(My_CreaKeyCella($A8,F$2),Tab.db[Key],0)),"")</f>
        <v/>
      </c>
      <c r="G8" s="20" t="str">
        <f>IFERROR(INDEX(Tab.db[Text],MATCH(My_CreaKeyCella($A8,G$2),Tab.db[Key],0)),"")</f>
        <v/>
      </c>
    </row>
    <row r="9" spans="1:7" ht="36" customHeight="1" x14ac:dyDescent="0.25">
      <c r="A9" s="4">
        <v>5</v>
      </c>
      <c r="B9" s="16" t="str">
        <f t="shared" si="0"/>
        <v>Cap. 5</v>
      </c>
      <c r="C9" s="16" t="str">
        <f t="shared" si="1"/>
        <v>Requisito 5</v>
      </c>
      <c r="D9" s="20" t="str">
        <f>IFERROR(INDEX(Tab.db[Text],MATCH(My_CreaKeyCella($A9,D$2),Tab.db[Key],0)),"")</f>
        <v/>
      </c>
      <c r="E9" s="20" t="str">
        <f>IFERROR(INDEX(Tab.db[Text],MATCH(My_CreaKeyCella($A9,E$2),Tab.db[Key],0)),"")</f>
        <v xml:space="preserve">In progress_x000D_
</v>
      </c>
      <c r="F9" s="20" t="str">
        <f>IFERROR(INDEX(Tab.db[Text],MATCH(My_CreaKeyCella($A9,F$2),Tab.db[Key],0)),"")</f>
        <v/>
      </c>
      <c r="G9" s="20" t="str">
        <f>IFERROR(INDEX(Tab.db[Text],MATCH(My_CreaKeyCella($A9,G$2),Tab.db[Key],0)),"")</f>
        <v/>
      </c>
    </row>
    <row r="10" spans="1:7" ht="36" customHeight="1" x14ac:dyDescent="0.25">
      <c r="A10" s="4">
        <v>6</v>
      </c>
      <c r="B10" s="16" t="str">
        <f t="shared" si="0"/>
        <v>Cap. 6</v>
      </c>
      <c r="C10" s="16" t="str">
        <f t="shared" si="1"/>
        <v>Requisito 6</v>
      </c>
      <c r="D10" s="20" t="str">
        <f>IFERROR(INDEX(Tab.db[Text],MATCH(My_CreaKeyCella($A10,D$2),Tab.db[Key],0)),"")</f>
        <v/>
      </c>
      <c r="E10" s="20" t="str">
        <f>IFERROR(INDEX(Tab.db[Text],MATCH(My_CreaKeyCella($A10,E$2),Tab.db[Key],0)),"")</f>
        <v/>
      </c>
      <c r="F10" s="20" t="str">
        <f>IFERROR(INDEX(Tab.db[Text],MATCH(My_CreaKeyCella($A10,F$2),Tab.db[Key],0)),"")</f>
        <v/>
      </c>
      <c r="G10" s="20" t="str">
        <f>IFERROR(INDEX(Tab.db[Text],MATCH(My_CreaKeyCella($A10,G$2),Tab.db[Key],0)),"")</f>
        <v/>
      </c>
    </row>
    <row r="11" spans="1:7" ht="36" customHeight="1" x14ac:dyDescent="0.25">
      <c r="A11" s="4">
        <v>7</v>
      </c>
      <c r="B11" s="16" t="str">
        <f t="shared" si="0"/>
        <v>Cap. 7</v>
      </c>
      <c r="C11" s="16" t="str">
        <f t="shared" si="1"/>
        <v>Requisito 7</v>
      </c>
      <c r="D11" s="20" t="str">
        <f>IFERROR(INDEX(Tab.db[Text],MATCH(My_CreaKeyCella($A11,D$2),Tab.db[Key],0)),"")</f>
        <v/>
      </c>
      <c r="E11" s="20" t="str">
        <f>IFERROR(INDEX(Tab.db[Text],MATCH(My_CreaKeyCella($A11,E$2),Tab.db[Key],0)),"")</f>
        <v/>
      </c>
      <c r="F11" s="20" t="str">
        <f>IFERROR(INDEX(Tab.db[Text],MATCH(My_CreaKeyCella($A11,F$2),Tab.db[Key],0)),"")</f>
        <v/>
      </c>
      <c r="G11" s="20" t="str">
        <f>IFERROR(INDEX(Tab.db[Text],MATCH(My_CreaKeyCella($A11,G$2),Tab.db[Key],0)),"")</f>
        <v/>
      </c>
    </row>
    <row r="12" spans="1:7" ht="36" customHeight="1" x14ac:dyDescent="0.25">
      <c r="A12" s="4">
        <v>8</v>
      </c>
      <c r="B12" s="16" t="str">
        <f t="shared" si="0"/>
        <v>Cap. 8</v>
      </c>
      <c r="C12" s="16" t="str">
        <f t="shared" si="1"/>
        <v>Requisito 8</v>
      </c>
      <c r="D12" s="20" t="str">
        <f>IFERROR(INDEX(Tab.db[Text],MATCH(My_CreaKeyCella($A12,D$2),Tab.db[Key],0)),"")</f>
        <v/>
      </c>
      <c r="E12" s="20" t="str">
        <f>IFERROR(INDEX(Tab.db[Text],MATCH(My_CreaKeyCella($A12,E$2),Tab.db[Key],0)),"")</f>
        <v/>
      </c>
      <c r="F12" s="20" t="str">
        <f>IFERROR(INDEX(Tab.db[Text],MATCH(My_CreaKeyCella($A12,F$2),Tab.db[Key],0)),"")</f>
        <v/>
      </c>
      <c r="G12" s="20" t="str">
        <f>IFERROR(INDEX(Tab.db[Text],MATCH(My_CreaKeyCella($A12,G$2),Tab.db[Key],0)),"")</f>
        <v/>
      </c>
    </row>
    <row r="13" spans="1:7" ht="36" customHeight="1" x14ac:dyDescent="0.25">
      <c r="A13" s="4">
        <v>9</v>
      </c>
      <c r="B13" s="16" t="str">
        <f t="shared" si="0"/>
        <v>Cap. 9</v>
      </c>
      <c r="C13" s="16" t="str">
        <f t="shared" si="1"/>
        <v>Requisito 9</v>
      </c>
      <c r="D13" s="20" t="str">
        <f>IFERROR(INDEX(Tab.db[Text],MATCH(My_CreaKeyCella($A13,D$2),Tab.db[Key],0)),"")</f>
        <v/>
      </c>
      <c r="E13" s="20" t="str">
        <f>IFERROR(INDEX(Tab.db[Text],MATCH(My_CreaKeyCella($A13,E$2),Tab.db[Key],0)),"")</f>
        <v/>
      </c>
      <c r="F13" s="20" t="str">
        <f>IFERROR(INDEX(Tab.db[Text],MATCH(My_CreaKeyCella($A13,F$2),Tab.db[Key],0)),"")</f>
        <v/>
      </c>
      <c r="G13" s="20" t="str">
        <f>IFERROR(INDEX(Tab.db[Text],MATCH(My_CreaKeyCella($A13,G$2),Tab.db[Key],0)),"")</f>
        <v/>
      </c>
    </row>
    <row r="14" spans="1:7" ht="36" customHeight="1" x14ac:dyDescent="0.25">
      <c r="A14" s="4">
        <v>10</v>
      </c>
      <c r="B14" s="16" t="str">
        <f t="shared" si="0"/>
        <v>Cap. 10</v>
      </c>
      <c r="C14" s="16" t="str">
        <f t="shared" si="1"/>
        <v>Requisito 10</v>
      </c>
      <c r="D14" s="20" t="str">
        <f>IFERROR(INDEX(Tab.db[Text],MATCH(My_CreaKeyCella($A14,D$2),Tab.db[Key],0)),"")</f>
        <v/>
      </c>
      <c r="E14" s="20" t="str">
        <f>IFERROR(INDEX(Tab.db[Text],MATCH(My_CreaKeyCella($A14,E$2),Tab.db[Key],0)),"")</f>
        <v/>
      </c>
      <c r="F14" s="20" t="str">
        <f>IFERROR(INDEX(Tab.db[Text],MATCH(My_CreaKeyCella($A14,F$2),Tab.db[Key],0)),"")</f>
        <v/>
      </c>
      <c r="G14" s="20" t="str">
        <f>IFERROR(INDEX(Tab.db[Text],MATCH(My_CreaKeyCella($A14,G$2),Tab.db[Key],0)),"")</f>
        <v/>
      </c>
    </row>
    <row r="15" spans="1:7" ht="36" customHeight="1" x14ac:dyDescent="0.25">
      <c r="A15" s="4">
        <v>11</v>
      </c>
      <c r="B15" s="16" t="str">
        <f t="shared" si="0"/>
        <v>Cap. 11</v>
      </c>
      <c r="C15" s="16" t="str">
        <f t="shared" si="1"/>
        <v>Requisito 11</v>
      </c>
      <c r="D15" s="20" t="str">
        <f>IFERROR(INDEX(Tab.db[Text],MATCH(My_CreaKeyCella($A15,D$2),Tab.db[Key],0)),"")</f>
        <v/>
      </c>
      <c r="E15" s="20" t="str">
        <f>IFERROR(INDEX(Tab.db[Text],MATCH(My_CreaKeyCella($A15,E$2),Tab.db[Key],0)),"")</f>
        <v/>
      </c>
      <c r="F15" s="20" t="str">
        <f>IFERROR(INDEX(Tab.db[Text],MATCH(My_CreaKeyCella($A15,F$2),Tab.db[Key],0)),"")</f>
        <v/>
      </c>
      <c r="G15" s="20" t="str">
        <f>IFERROR(INDEX(Tab.db[Text],MATCH(My_CreaKeyCella($A15,G$2),Tab.db[Key],0)),"")</f>
        <v/>
      </c>
    </row>
    <row r="16" spans="1:7" ht="36" customHeight="1" x14ac:dyDescent="0.25">
      <c r="A16" s="4">
        <v>12</v>
      </c>
      <c r="B16" s="16" t="str">
        <f t="shared" si="0"/>
        <v>Cap. 12</v>
      </c>
      <c r="C16" s="16" t="str">
        <f t="shared" si="1"/>
        <v>Requisito 12</v>
      </c>
      <c r="D16" s="20" t="str">
        <f>IFERROR(INDEX(Tab.db[Text],MATCH(My_CreaKeyCella($A16,D$2),Tab.db[Key],0)),"")</f>
        <v/>
      </c>
      <c r="E16" s="20" t="str">
        <f>IFERROR(INDEX(Tab.db[Text],MATCH(My_CreaKeyCella($A16,E$2),Tab.db[Key],0)),"")</f>
        <v/>
      </c>
      <c r="F16" s="20" t="str">
        <f>IFERROR(INDEX(Tab.db[Text],MATCH(My_CreaKeyCella($A16,F$2),Tab.db[Key],0)),"")</f>
        <v/>
      </c>
      <c r="G16" s="20" t="str">
        <f>IFERROR(INDEX(Tab.db[Text],MATCH(My_CreaKeyCella($A16,G$2),Tab.db[Key],0)),"")</f>
        <v/>
      </c>
    </row>
    <row r="17" spans="1:7" ht="36" customHeight="1" x14ac:dyDescent="0.25">
      <c r="A17" s="4">
        <v>13</v>
      </c>
      <c r="B17" s="16" t="str">
        <f t="shared" si="0"/>
        <v>Cap. 13</v>
      </c>
      <c r="C17" s="16" t="str">
        <f t="shared" si="1"/>
        <v>Requisito 13</v>
      </c>
      <c r="D17" s="20" t="str">
        <f>IFERROR(INDEX(Tab.db[Text],MATCH(My_CreaKeyCella($A17,D$2),Tab.db[Key],0)),"")</f>
        <v/>
      </c>
      <c r="E17" s="20" t="str">
        <f>IFERROR(INDEX(Tab.db[Text],MATCH(My_CreaKeyCella($A17,E$2),Tab.db[Key],0)),"")</f>
        <v/>
      </c>
      <c r="F17" s="20" t="str">
        <f>IFERROR(INDEX(Tab.db[Text],MATCH(My_CreaKeyCella($A17,F$2),Tab.db[Key],0)),"")</f>
        <v/>
      </c>
      <c r="G17" s="20" t="str">
        <f>IFERROR(INDEX(Tab.db[Text],MATCH(My_CreaKeyCella($A17,G$2),Tab.db[Key],0)),"")</f>
        <v/>
      </c>
    </row>
    <row r="18" spans="1:7" ht="36" customHeight="1" x14ac:dyDescent="0.25">
      <c r="A18" s="4">
        <v>14</v>
      </c>
      <c r="B18" s="16" t="str">
        <f t="shared" si="0"/>
        <v>Cap. 14</v>
      </c>
      <c r="C18" s="16" t="str">
        <f t="shared" si="1"/>
        <v>Requisito 14</v>
      </c>
      <c r="D18" s="20" t="str">
        <f>IFERROR(INDEX(Tab.db[Text],MATCH(My_CreaKeyCella($A18,D$2),Tab.db[Key],0)),"")</f>
        <v/>
      </c>
      <c r="E18" s="20" t="str">
        <f>IFERROR(INDEX(Tab.db[Text],MATCH(My_CreaKeyCella($A18,E$2),Tab.db[Key],0)),"")</f>
        <v/>
      </c>
      <c r="F18" s="20" t="str">
        <f>IFERROR(INDEX(Tab.db[Text],MATCH(My_CreaKeyCella($A18,F$2),Tab.db[Key],0)),"")</f>
        <v/>
      </c>
      <c r="G18" s="20" t="str">
        <f>IFERROR(INDEX(Tab.db[Text],MATCH(My_CreaKeyCella($A18,G$2),Tab.db[Key],0)),"")</f>
        <v/>
      </c>
    </row>
    <row r="19" spans="1:7" ht="36" customHeight="1" x14ac:dyDescent="0.25">
      <c r="A19" s="4">
        <v>15</v>
      </c>
      <c r="B19" s="16" t="str">
        <f t="shared" si="0"/>
        <v>Cap. 15</v>
      </c>
      <c r="C19" s="16" t="str">
        <f t="shared" si="1"/>
        <v>Requisito 15</v>
      </c>
      <c r="D19" s="20" t="str">
        <f>IFERROR(INDEX(Tab.db[Text],MATCH(My_CreaKeyCella($A19,D$2),Tab.db[Key],0)),"")</f>
        <v/>
      </c>
      <c r="E19" s="20" t="str">
        <f>IFERROR(INDEX(Tab.db[Text],MATCH(My_CreaKeyCella($A19,E$2),Tab.db[Key],0)),"")</f>
        <v/>
      </c>
      <c r="F19" s="20" t="str">
        <f>IFERROR(INDEX(Tab.db[Text],MATCH(My_CreaKeyCella($A19,F$2),Tab.db[Key],0)),"")</f>
        <v/>
      </c>
      <c r="G19" s="20" t="str">
        <f>IFERROR(INDEX(Tab.db[Text],MATCH(My_CreaKeyCella($A19,G$2),Tab.db[Key],0)),"")</f>
        <v/>
      </c>
    </row>
    <row r="20" spans="1:7" ht="36" customHeight="1" x14ac:dyDescent="0.25">
      <c r="A20" s="4">
        <v>16</v>
      </c>
      <c r="B20" s="16" t="str">
        <f t="shared" si="0"/>
        <v>Cap. 16</v>
      </c>
      <c r="C20" s="16" t="str">
        <f t="shared" si="1"/>
        <v>Requisito 16</v>
      </c>
      <c r="D20" s="20" t="str">
        <f>IFERROR(INDEX(Tab.db[Text],MATCH(My_CreaKeyCella($A20,D$2),Tab.db[Key],0)),"")</f>
        <v/>
      </c>
      <c r="E20" s="20" t="str">
        <f>IFERROR(INDEX(Tab.db[Text],MATCH(My_CreaKeyCella($A20,E$2),Tab.db[Key],0)),"")</f>
        <v/>
      </c>
      <c r="F20" s="20" t="str">
        <f>IFERROR(INDEX(Tab.db[Text],MATCH(My_CreaKeyCella($A20,F$2),Tab.db[Key],0)),"")</f>
        <v/>
      </c>
      <c r="G20" s="20" t="str">
        <f>IFERROR(INDEX(Tab.db[Text],MATCH(My_CreaKeyCella($A20,G$2),Tab.db[Key],0)),"")</f>
        <v/>
      </c>
    </row>
    <row r="21" spans="1:7" ht="36" customHeight="1" x14ac:dyDescent="0.25">
      <c r="A21" s="4">
        <v>17</v>
      </c>
      <c r="B21" s="16" t="str">
        <f t="shared" si="0"/>
        <v>Cap. 17</v>
      </c>
      <c r="C21" s="16" t="str">
        <f t="shared" si="1"/>
        <v>Requisito 17</v>
      </c>
      <c r="D21" s="20" t="str">
        <f>IFERROR(INDEX(Tab.db[Text],MATCH(My_CreaKeyCella($A21,D$2),Tab.db[Key],0)),"")</f>
        <v/>
      </c>
      <c r="E21" s="20" t="str">
        <f>IFERROR(INDEX(Tab.db[Text],MATCH(My_CreaKeyCella($A21,E$2),Tab.db[Key],0)),"")</f>
        <v/>
      </c>
      <c r="F21" s="20" t="str">
        <f>IFERROR(INDEX(Tab.db[Text],MATCH(My_CreaKeyCella($A21,F$2),Tab.db[Key],0)),"")</f>
        <v/>
      </c>
      <c r="G21" s="20" t="str">
        <f>IFERROR(INDEX(Tab.db[Text],MATCH(My_CreaKeyCella($A21,G$2),Tab.db[Key],0)),"")</f>
        <v/>
      </c>
    </row>
    <row r="22" spans="1:7" ht="36" customHeight="1" x14ac:dyDescent="0.25">
      <c r="A22" s="4">
        <v>18</v>
      </c>
      <c r="B22" s="16" t="str">
        <f t="shared" si="0"/>
        <v>Cap. 18</v>
      </c>
      <c r="C22" s="16" t="str">
        <f t="shared" si="1"/>
        <v>Requisito 18</v>
      </c>
      <c r="D22" s="20" t="str">
        <f>IFERROR(INDEX(Tab.db[Text],MATCH(My_CreaKeyCella($A22,D$2),Tab.db[Key],0)),"")</f>
        <v/>
      </c>
      <c r="E22" s="20" t="str">
        <f>IFERROR(INDEX(Tab.db[Text],MATCH(My_CreaKeyCella($A22,E$2),Tab.db[Key],0)),"")</f>
        <v/>
      </c>
      <c r="F22" s="20" t="str">
        <f>IFERROR(INDEX(Tab.db[Text],MATCH(My_CreaKeyCella($A22,F$2),Tab.db[Key],0)),"")</f>
        <v/>
      </c>
      <c r="G22" s="20" t="str">
        <f>IFERROR(INDEX(Tab.db[Text],MATCH(My_CreaKeyCella($A22,G$2),Tab.db[Key],0)),"")</f>
        <v/>
      </c>
    </row>
    <row r="23" spans="1:7" ht="36" customHeight="1" x14ac:dyDescent="0.25">
      <c r="A23" s="4">
        <v>19</v>
      </c>
      <c r="B23" s="16" t="str">
        <f t="shared" si="0"/>
        <v>Cap. 19</v>
      </c>
      <c r="C23" s="16" t="str">
        <f t="shared" si="1"/>
        <v>Requisito 19</v>
      </c>
      <c r="D23" s="20" t="str">
        <f>IFERROR(INDEX(Tab.db[Text],MATCH(My_CreaKeyCella($A23,D$2),Tab.db[Key],0)),"")</f>
        <v/>
      </c>
      <c r="E23" s="20" t="str">
        <f>IFERROR(INDEX(Tab.db[Text],MATCH(My_CreaKeyCella($A23,E$2),Tab.db[Key],0)),"")</f>
        <v/>
      </c>
      <c r="F23" s="20" t="str">
        <f>IFERROR(INDEX(Tab.db[Text],MATCH(My_CreaKeyCella($A23,F$2),Tab.db[Key],0)),"")</f>
        <v/>
      </c>
      <c r="G23" s="20" t="str">
        <f>IFERROR(INDEX(Tab.db[Text],MATCH(My_CreaKeyCella($A23,G$2),Tab.db[Key],0)),"")</f>
        <v/>
      </c>
    </row>
    <row r="24" spans="1:7" ht="36" customHeight="1" x14ac:dyDescent="0.25">
      <c r="A24" s="4">
        <v>20</v>
      </c>
      <c r="B24" s="16" t="str">
        <f t="shared" si="0"/>
        <v>Cap. 20</v>
      </c>
      <c r="C24" s="16" t="str">
        <f t="shared" si="1"/>
        <v>Requisito 20</v>
      </c>
      <c r="D24" s="20" t="str">
        <f>IFERROR(INDEX(Tab.db[Text],MATCH(My_CreaKeyCella($A24,D$2),Tab.db[Key],0)),"")</f>
        <v/>
      </c>
      <c r="E24" s="20" t="str">
        <f>IFERROR(INDEX(Tab.db[Text],MATCH(My_CreaKeyCella($A24,E$2),Tab.db[Key],0)),"")</f>
        <v/>
      </c>
      <c r="F24" s="20" t="str">
        <f>IFERROR(INDEX(Tab.db[Text],MATCH(My_CreaKeyCella($A24,F$2),Tab.db[Key],0)),"")</f>
        <v/>
      </c>
      <c r="G24" s="20" t="str">
        <f>IFERROR(INDEX(Tab.db[Text],MATCH(My_CreaKeyCella($A24,G$2),Tab.db[Key],0)),"")</f>
        <v/>
      </c>
    </row>
  </sheetData>
  <sheetProtection sheet="1" objects="1" scenarios="1" autoFilter="0"/>
  <autoFilter ref="A4:G24"/>
  <conditionalFormatting sqref="D5:G24">
    <cfRule type="cellIs" dxfId="4" priority="1" operator="equal">
      <formula>0</formula>
    </cfRule>
    <cfRule type="containsText" dxfId="3" priority="2" operator="containsText" text="Not">
      <formula>NOT(ISERROR(SEARCH("Not",D5)))</formula>
    </cfRule>
    <cfRule type="containsText" dxfId="2" priority="3" operator="containsText" text="In progress">
      <formula>NOT(ISERROR(SEARCH("In progress",D5)))</formula>
    </cfRule>
    <cfRule type="containsText" dxfId="1" priority="4" operator="containsText" text="FAIL">
      <formula>NOT(ISERROR(SEARCH("FAIL",D5)))</formula>
    </cfRule>
    <cfRule type="containsText" dxfId="0" priority="5" operator="containsText" text="PASS">
      <formula>NOT(ISERROR(SEARCH("PASS",D5)))</formula>
    </cfRule>
  </conditionalFormatting>
  <pageMargins left="0.25" right="0.25" top="0.75" bottom="0.75" header="0.3" footer="0.3"/>
  <pageSetup paperSize="9" orientation="landscape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8"/>
  <sheetViews>
    <sheetView workbookViewId="0">
      <selection activeCell="B4" sqref="B4"/>
    </sheetView>
  </sheetViews>
  <sheetFormatPr defaultColWidth="0" defaultRowHeight="15" zeroHeight="1" x14ac:dyDescent="0.25"/>
  <cols>
    <col min="1" max="1" width="18.85546875" customWidth="1"/>
    <col min="2" max="2" width="38.5703125" customWidth="1"/>
    <col min="3" max="16384" width="9.140625" hidden="1"/>
  </cols>
  <sheetData>
    <row r="1" spans="1:2" ht="30.75" customHeight="1" x14ac:dyDescent="0.25">
      <c r="A1" s="12"/>
      <c r="B1" s="12"/>
    </row>
    <row r="2" spans="1:2" ht="26.25" customHeight="1" x14ac:dyDescent="0.25">
      <c r="A2" s="2" t="s">
        <v>15</v>
      </c>
      <c r="B2" s="7" t="str">
        <f>_prodotto</f>
        <v>Prodotto 2</v>
      </c>
    </row>
    <row r="3" spans="1:2" ht="26.25" customHeight="1" x14ac:dyDescent="0.25">
      <c r="A3" s="2" t="s">
        <v>12</v>
      </c>
      <c r="B3" s="7" t="str">
        <f>_requisito</f>
        <v>Cap. 5</v>
      </c>
    </row>
    <row r="4" spans="1:2" ht="26.25" customHeight="1" x14ac:dyDescent="0.25">
      <c r="A4" s="2" t="s">
        <v>9</v>
      </c>
      <c r="B4" s="17" t="s">
        <v>29</v>
      </c>
    </row>
    <row r="5" spans="1:2" ht="26.25" customHeight="1" x14ac:dyDescent="0.25">
      <c r="A5" s="2" t="s">
        <v>10</v>
      </c>
      <c r="B5" s="8"/>
    </row>
    <row r="6" spans="1:2" ht="26.25" customHeight="1" x14ac:dyDescent="0.25">
      <c r="A6" s="2" t="s">
        <v>16</v>
      </c>
      <c r="B6" s="8"/>
    </row>
    <row r="7" spans="1:2" x14ac:dyDescent="0.25">
      <c r="A7" s="10"/>
      <c r="B7" s="10"/>
    </row>
    <row r="8" spans="1:2" hidden="1" x14ac:dyDescent="0.25">
      <c r="A8" s="5" t="s">
        <v>17</v>
      </c>
      <c r="B8" s="9">
        <v>9</v>
      </c>
    </row>
    <row r="9" spans="1:2" hidden="1" x14ac:dyDescent="0.25">
      <c r="A9" s="5" t="s">
        <v>18</v>
      </c>
      <c r="B9" s="9">
        <v>5</v>
      </c>
    </row>
    <row r="10" spans="1:2" hidden="1" x14ac:dyDescent="0.25">
      <c r="A10" s="5" t="s">
        <v>1</v>
      </c>
      <c r="B10" s="9">
        <v>5</v>
      </c>
    </row>
    <row r="11" spans="1:2" hidden="1" x14ac:dyDescent="0.25">
      <c r="A11" s="5" t="s">
        <v>2</v>
      </c>
      <c r="B11" s="9">
        <v>2</v>
      </c>
    </row>
    <row r="12" spans="1:2" hidden="1" x14ac:dyDescent="0.25">
      <c r="A12" s="5" t="s">
        <v>12</v>
      </c>
      <c r="B12" s="9" t="s">
        <v>36</v>
      </c>
    </row>
    <row r="13" spans="1:2" hidden="1" x14ac:dyDescent="0.25">
      <c r="A13" s="5" t="s">
        <v>15</v>
      </c>
      <c r="B13" s="9" t="s">
        <v>13</v>
      </c>
    </row>
    <row r="14" spans="1:2" hidden="1" x14ac:dyDescent="0.25">
      <c r="A14" s="5" t="s">
        <v>22</v>
      </c>
      <c r="B14" s="9" t="s">
        <v>35</v>
      </c>
    </row>
    <row r="15" spans="1:2" hidden="1" x14ac:dyDescent="0.25">
      <c r="A15" s="10"/>
      <c r="B15" s="10"/>
    </row>
    <row r="16" spans="1:2" hidden="1" x14ac:dyDescent="0.25">
      <c r="A16" s="10"/>
      <c r="B16" s="10"/>
    </row>
    <row r="17" spans="1:2" hidden="1" x14ac:dyDescent="0.25">
      <c r="A17" s="10"/>
      <c r="B17" s="10"/>
    </row>
    <row r="18" spans="1:2" hidden="1" x14ac:dyDescent="0.25">
      <c r="A18" s="10"/>
      <c r="B18" s="10"/>
    </row>
  </sheetData>
  <sheetProtection sheet="1" objects="1" scenarios="1" selectLockedCells="1"/>
  <mergeCells count="1">
    <mergeCell ref="A1:B1"/>
  </mergeCells>
  <dataValidations count="1">
    <dataValidation type="list" allowBlank="1" sqref="B4">
      <formula1>"Pass,Fail,Not fully positive,TBD,In progress"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L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4" width="5.7109375" customWidth="1"/>
    <col min="5" max="7" width="20.7109375" customWidth="1"/>
    <col min="8" max="8" width="15.7109375" customWidth="1"/>
    <col min="9" max="9" width="20.7109375" customWidth="1"/>
    <col min="12" max="12" width="9.7109375" bestFit="1" customWidth="1"/>
  </cols>
  <sheetData>
    <row r="1" spans="1:12" ht="30.75" customHeight="1" x14ac:dyDescent="0.25">
      <c r="A1" s="19" t="s">
        <v>0</v>
      </c>
      <c r="B1" s="19" t="s">
        <v>1</v>
      </c>
      <c r="C1" s="19" t="s">
        <v>2</v>
      </c>
      <c r="D1" s="19" t="s">
        <v>21</v>
      </c>
      <c r="E1" s="19" t="s">
        <v>9</v>
      </c>
      <c r="F1" s="19" t="s">
        <v>10</v>
      </c>
      <c r="G1" s="19" t="s">
        <v>19</v>
      </c>
      <c r="H1" s="19" t="s">
        <v>22</v>
      </c>
      <c r="I1" s="19" t="s">
        <v>23</v>
      </c>
    </row>
    <row r="2" spans="1:12" ht="45" x14ac:dyDescent="0.25">
      <c r="A2" s="6">
        <v>1</v>
      </c>
      <c r="B2" s="6">
        <v>1</v>
      </c>
      <c r="C2" s="6">
        <v>1</v>
      </c>
      <c r="D2" s="6"/>
      <c r="E2" s="6" t="s">
        <v>8</v>
      </c>
      <c r="F2" s="6" t="s">
        <v>30</v>
      </c>
      <c r="G2" s="6"/>
      <c r="H2" s="18" t="s">
        <v>27</v>
      </c>
      <c r="I2" s="13" t="s">
        <v>31</v>
      </c>
      <c r="L2" s="14"/>
    </row>
    <row r="3" spans="1:12" x14ac:dyDescent="0.25">
      <c r="A3" s="6">
        <v>2</v>
      </c>
      <c r="B3" s="6">
        <v>1</v>
      </c>
      <c r="C3" s="6">
        <v>2</v>
      </c>
      <c r="D3" s="6"/>
      <c r="E3" s="6"/>
      <c r="F3" s="6"/>
      <c r="G3" s="6"/>
      <c r="H3" s="18" t="s">
        <v>5</v>
      </c>
      <c r="I3" s="13"/>
    </row>
    <row r="4" spans="1:12" x14ac:dyDescent="0.25">
      <c r="A4" s="6">
        <v>3</v>
      </c>
      <c r="B4" s="6">
        <v>2</v>
      </c>
      <c r="C4" s="6">
        <v>2</v>
      </c>
      <c r="D4" s="6"/>
      <c r="E4" s="6"/>
      <c r="F4" s="6"/>
      <c r="G4" s="6"/>
      <c r="H4" s="18" t="s">
        <v>3</v>
      </c>
      <c r="I4" s="13"/>
    </row>
    <row r="5" spans="1:12" ht="30" x14ac:dyDescent="0.25">
      <c r="A5" s="6">
        <v>4</v>
      </c>
      <c r="B5" s="6">
        <v>5</v>
      </c>
      <c r="C5" s="6">
        <v>2</v>
      </c>
      <c r="D5" s="6"/>
      <c r="E5" s="6" t="s">
        <v>29</v>
      </c>
      <c r="F5" s="6"/>
      <c r="G5" s="6"/>
      <c r="H5" s="18" t="s">
        <v>35</v>
      </c>
      <c r="I5" s="13" t="s">
        <v>33</v>
      </c>
    </row>
    <row r="6" spans="1:12" ht="30" x14ac:dyDescent="0.25">
      <c r="A6" s="6">
        <v>5</v>
      </c>
      <c r="B6" s="6">
        <v>3</v>
      </c>
      <c r="C6" s="6">
        <v>1</v>
      </c>
      <c r="D6" s="6"/>
      <c r="E6" s="6" t="s">
        <v>8</v>
      </c>
      <c r="F6" s="6"/>
      <c r="G6" s="6"/>
      <c r="H6" s="18" t="s">
        <v>6</v>
      </c>
      <c r="I6" s="13" t="s">
        <v>34</v>
      </c>
    </row>
    <row r="7" spans="1:12" ht="30" x14ac:dyDescent="0.25">
      <c r="A7" s="6">
        <v>6</v>
      </c>
      <c r="B7" s="6">
        <v>3</v>
      </c>
      <c r="C7" s="6">
        <v>2</v>
      </c>
      <c r="D7" s="6"/>
      <c r="E7" s="6" t="s">
        <v>14</v>
      </c>
      <c r="F7" s="6"/>
      <c r="G7" s="6"/>
      <c r="H7" s="18" t="s">
        <v>37</v>
      </c>
      <c r="I7" s="13" t="s">
        <v>38</v>
      </c>
    </row>
    <row r="8" spans="1:12" ht="30" x14ac:dyDescent="0.25">
      <c r="A8" s="6">
        <v>7</v>
      </c>
      <c r="B8" s="6">
        <v>3</v>
      </c>
      <c r="C8" s="6">
        <v>3</v>
      </c>
      <c r="D8" s="6"/>
      <c r="E8" s="6" t="s">
        <v>28</v>
      </c>
      <c r="F8" s="6"/>
      <c r="G8" s="6"/>
      <c r="H8" s="18" t="s">
        <v>7</v>
      </c>
      <c r="I8" s="13" t="s">
        <v>39</v>
      </c>
    </row>
    <row r="9" spans="1:12" ht="30" x14ac:dyDescent="0.25">
      <c r="A9" s="6">
        <v>8</v>
      </c>
      <c r="B9" s="6">
        <v>3</v>
      </c>
      <c r="C9" s="6">
        <v>4</v>
      </c>
      <c r="D9" s="6"/>
      <c r="E9" s="6" t="s">
        <v>8</v>
      </c>
      <c r="F9" s="6"/>
      <c r="G9" s="6"/>
      <c r="H9" s="18" t="s">
        <v>4</v>
      </c>
      <c r="I9" s="13" t="s">
        <v>34</v>
      </c>
    </row>
    <row r="10" spans="1:12" ht="30" x14ac:dyDescent="0.25">
      <c r="A10" s="6">
        <v>9</v>
      </c>
      <c r="B10" s="6">
        <v>4</v>
      </c>
      <c r="C10" s="6">
        <v>1</v>
      </c>
      <c r="D10" s="6"/>
      <c r="E10" s="6" t="s">
        <v>14</v>
      </c>
      <c r="F10" s="6"/>
      <c r="G10" s="6"/>
      <c r="H10" s="18" t="s">
        <v>40</v>
      </c>
      <c r="I10" s="13" t="s">
        <v>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2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4.28515625" customWidth="1"/>
  </cols>
  <sheetData>
    <row r="1" spans="1:2" x14ac:dyDescent="0.25">
      <c r="A1" t="s">
        <v>0</v>
      </c>
      <c r="B1" t="s">
        <v>20</v>
      </c>
    </row>
    <row r="2" spans="1:2" ht="75" customHeight="1" x14ac:dyDescent="0.25">
      <c r="A2" s="1">
        <v>1</v>
      </c>
    </row>
    <row r="3" spans="1:2" ht="75" customHeight="1" x14ac:dyDescent="0.25">
      <c r="A3" s="1">
        <v>2</v>
      </c>
    </row>
    <row r="4" spans="1:2" ht="75" customHeight="1" x14ac:dyDescent="0.25">
      <c r="A4" s="1">
        <v>3</v>
      </c>
    </row>
    <row r="5" spans="1:2" ht="75" customHeight="1" x14ac:dyDescent="0.25">
      <c r="A5" s="1">
        <v>4</v>
      </c>
    </row>
    <row r="6" spans="1:2" ht="75" customHeight="1" x14ac:dyDescent="0.25">
      <c r="A6" s="1">
        <v>5</v>
      </c>
    </row>
    <row r="7" spans="1:2" ht="75" customHeight="1" x14ac:dyDescent="0.25">
      <c r="A7" s="1">
        <v>6</v>
      </c>
    </row>
    <row r="8" spans="1:2" ht="75" customHeight="1" x14ac:dyDescent="0.25">
      <c r="A8" s="1">
        <v>7</v>
      </c>
    </row>
    <row r="9" spans="1:2" ht="75" customHeight="1" x14ac:dyDescent="0.25"/>
    <row r="10" spans="1:2" ht="75" customHeight="1" x14ac:dyDescent="0.25"/>
    <row r="11" spans="1:2" ht="75" customHeight="1" x14ac:dyDescent="0.25"/>
    <row r="12" spans="1:2" ht="75" customHeight="1" x14ac:dyDescent="0.25"/>
    <row r="13" spans="1:2" ht="75" customHeight="1" x14ac:dyDescent="0.25"/>
    <row r="14" spans="1:2" ht="75" customHeight="1" x14ac:dyDescent="0.25"/>
    <row r="15" spans="1:2" ht="75" customHeight="1" x14ac:dyDescent="0.25"/>
    <row r="16" spans="1:2" ht="75" customHeight="1" x14ac:dyDescent="0.25"/>
    <row r="17" ht="75" customHeight="1" x14ac:dyDescent="0.25"/>
    <row r="18" ht="75" customHeight="1" x14ac:dyDescent="0.25"/>
    <row r="19" ht="75" customHeight="1" x14ac:dyDescent="0.25"/>
    <row r="20" ht="75" customHeight="1" x14ac:dyDescent="0.25"/>
    <row r="21" ht="75" customHeight="1" x14ac:dyDescent="0.25"/>
    <row r="22" ht="75" customHeight="1" x14ac:dyDescent="0.25"/>
    <row r="23" ht="75" customHeight="1" x14ac:dyDescent="0.25"/>
    <row r="24" ht="75" customHeight="1" x14ac:dyDescent="0.25"/>
    <row r="25" ht="75" customHeight="1" x14ac:dyDescent="0.2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13</vt:i4>
      </vt:variant>
    </vt:vector>
  </HeadingPairs>
  <TitlesOfParts>
    <vt:vector size="17" baseType="lpstr">
      <vt:lpstr>matrice_ui</vt:lpstr>
      <vt:lpstr>edit_cella</vt:lpstr>
      <vt:lpstr>db</vt:lpstr>
      <vt:lpstr>images</vt:lpstr>
      <vt:lpstr>_cellaIdProdotti</vt:lpstr>
      <vt:lpstr>_colonna</vt:lpstr>
      <vt:lpstr>_coverBy</vt:lpstr>
      <vt:lpstr>_documento</vt:lpstr>
      <vt:lpstr>_esito</vt:lpstr>
      <vt:lpstr>_idProdotto</vt:lpstr>
      <vt:lpstr>_idRequisito</vt:lpstr>
      <vt:lpstr>_key</vt:lpstr>
      <vt:lpstr>_primaCella</vt:lpstr>
      <vt:lpstr>_prodotto</vt:lpstr>
      <vt:lpstr>_requisito</vt:lpstr>
      <vt:lpstr>_riga</vt:lpstr>
      <vt:lpstr>matrice_ui!Titoli_stampa</vt:lpstr>
    </vt:vector>
  </TitlesOfParts>
  <Company>Sandhu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Malkit Sandhu</dc:creator>
  <cp:lastModifiedBy>Malkit Sandhu</cp:lastModifiedBy>
  <cp:lastPrinted>2021-11-14T12:48:12Z</cp:lastPrinted>
  <dcterms:created xsi:type="dcterms:W3CDTF">2021-10-13T17:16:05Z</dcterms:created>
  <dcterms:modified xsi:type="dcterms:W3CDTF">2021-11-14T13:18:55Z</dcterms:modified>
</cp:coreProperties>
</file>