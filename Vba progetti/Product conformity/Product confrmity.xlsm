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 activeTab="4"/>
  </bookViews>
  <sheets>
    <sheet name="dati" sheetId="4" r:id="rId1"/>
    <sheet name="piv" sheetId="8" r:id="rId2"/>
    <sheet name="keys" sheetId="6" r:id="rId3"/>
    <sheet name="ui" sheetId="7" r:id="rId4"/>
    <sheet name="matrice_ui" sheetId="9" r:id="rId5"/>
    <sheet name="edit_cella" sheetId="10" r:id="rId6"/>
    <sheet name="db" sheetId="11" r:id="rId7"/>
    <sheet name="images" sheetId="12" r:id="rId8"/>
  </sheets>
  <functionGroups builtInGroupCount="17"/>
  <definedNames>
    <definedName name="_colonna">edit_cella!$B$9</definedName>
    <definedName name="_coverBy">edit_cella!$B$6</definedName>
    <definedName name="_documento">edit_cella!$B$5</definedName>
    <definedName name="_esito">edit_cella!$B$4</definedName>
    <definedName name="_xlnm._FilterDatabase" localSheetId="0" hidden="1">dati!$A$1:$D$19</definedName>
    <definedName name="_idProdotto">edit_cella!$B$11</definedName>
    <definedName name="_idRequisito">edit_cella!$B$10</definedName>
    <definedName name="_key">edit_cella!$B$14</definedName>
    <definedName name="_prodotto">edit_cella!$B$13</definedName>
    <definedName name="_requisito">edit_cella!$B$12</definedName>
    <definedName name="_riga">edit_cella!$B$8</definedName>
    <definedName name="FiltroDati_IdProdotto">#N/A</definedName>
    <definedName name="_xlnm.Print_Titles" localSheetId="4">matrice_ui!$A:$B,matrice_ui!$1:$3</definedName>
  </definedNames>
  <calcPr calcId="144525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23" i="9" l="1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C5" i="9"/>
  <c r="C13" i="9"/>
  <c r="C16" i="9"/>
  <c r="C18" i="9"/>
  <c r="C20" i="9"/>
  <c r="C22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E6" i="9"/>
  <c r="E7" i="9"/>
  <c r="E8" i="9"/>
  <c r="E9" i="9"/>
  <c r="E10" i="9"/>
  <c r="E11" i="9"/>
  <c r="E13" i="9"/>
  <c r="E14" i="9"/>
  <c r="E16" i="9"/>
  <c r="E17" i="9"/>
  <c r="E19" i="9"/>
  <c r="E21" i="9"/>
  <c r="E23" i="9"/>
  <c r="E5" i="9"/>
  <c r="E12" i="9"/>
  <c r="E15" i="9"/>
  <c r="E18" i="9"/>
  <c r="E20" i="9"/>
  <c r="E22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C6" i="9"/>
  <c r="C7" i="9"/>
  <c r="C8" i="9"/>
  <c r="C9" i="9"/>
  <c r="C10" i="9"/>
  <c r="C11" i="9"/>
  <c r="C12" i="9"/>
  <c r="C14" i="9"/>
  <c r="C15" i="9"/>
  <c r="C17" i="9"/>
  <c r="C19" i="9"/>
  <c r="C21" i="9"/>
  <c r="C23" i="9"/>
  <c r="E4" i="9"/>
  <c r="F4" i="9"/>
  <c r="D4" i="9"/>
  <c r="C4" i="9"/>
  <c r="H20" i="11"/>
  <c r="H2" i="11"/>
  <c r="H3" i="11"/>
  <c r="H7" i="11"/>
  <c r="H11" i="11"/>
  <c r="H15" i="11"/>
  <c r="H19" i="11"/>
  <c r="H8" i="11"/>
  <c r="H12" i="11"/>
  <c r="H16" i="11"/>
  <c r="H4" i="11"/>
  <c r="H5" i="11"/>
  <c r="H9" i="11"/>
  <c r="H13" i="11"/>
  <c r="H17" i="11"/>
  <c r="H6" i="11"/>
  <c r="H10" i="11"/>
  <c r="H14" i="11"/>
  <c r="H18" i="11"/>
  <c r="G7" i="9"/>
  <c r="G11" i="9"/>
  <c r="G15" i="9"/>
  <c r="G19" i="9"/>
  <c r="G23" i="9"/>
  <c r="G4" i="9"/>
  <c r="G8" i="9"/>
  <c r="G12" i="9"/>
  <c r="G16" i="9"/>
  <c r="G20" i="9"/>
  <c r="G5" i="9"/>
  <c r="G9" i="9"/>
  <c r="G13" i="9"/>
  <c r="G17" i="9"/>
  <c r="G21" i="9"/>
  <c r="G6" i="9"/>
  <c r="G10" i="9"/>
  <c r="G14" i="9"/>
  <c r="G18" i="9"/>
  <c r="G22" i="9"/>
  <c r="H7" i="9"/>
  <c r="H11" i="9"/>
  <c r="H15" i="9"/>
  <c r="H19" i="9"/>
  <c r="H23" i="9"/>
  <c r="H4" i="9"/>
  <c r="H8" i="9"/>
  <c r="H12" i="9"/>
  <c r="H16" i="9"/>
  <c r="H20" i="9"/>
  <c r="H5" i="9"/>
  <c r="H9" i="9"/>
  <c r="H13" i="9"/>
  <c r="H17" i="9"/>
  <c r="H21" i="9"/>
  <c r="H6" i="9"/>
  <c r="H10" i="9"/>
  <c r="H14" i="9"/>
  <c r="H18" i="9"/>
  <c r="H22" i="9"/>
  <c r="I4" i="9"/>
  <c r="I16" i="9"/>
  <c r="I20" i="9"/>
  <c r="I5" i="9"/>
  <c r="I9" i="9"/>
  <c r="I13" i="9"/>
  <c r="I17" i="9"/>
  <c r="I21" i="9"/>
  <c r="I12" i="9"/>
  <c r="I6" i="9"/>
  <c r="I10" i="9"/>
  <c r="I14" i="9"/>
  <c r="I18" i="9"/>
  <c r="I22" i="9"/>
  <c r="I8" i="9"/>
  <c r="I7" i="9"/>
  <c r="I11" i="9"/>
  <c r="I15" i="9"/>
  <c r="I19" i="9"/>
  <c r="I23" i="9"/>
  <c r="D3" i="9" l="1"/>
  <c r="E3" i="9"/>
  <c r="F3" i="9"/>
  <c r="C3" i="9"/>
  <c r="B3" i="10"/>
  <c r="B2" i="10"/>
  <c r="B4" i="9"/>
  <c r="D20" i="4" l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" i="4"/>
</calcChain>
</file>

<file path=xl/sharedStrings.xml><?xml version="1.0" encoding="utf-8"?>
<sst xmlns="http://schemas.openxmlformats.org/spreadsheetml/2006/main" count="74" uniqueCount="54">
  <si>
    <t>Id</t>
  </si>
  <si>
    <t>IdRequisito</t>
  </si>
  <si>
    <t>IdProdotto</t>
  </si>
  <si>
    <t>Status</t>
  </si>
  <si>
    <t>K_2_2</t>
  </si>
  <si>
    <t>K_3_4</t>
  </si>
  <si>
    <t>K_4_2</t>
  </si>
  <si>
    <t>K_5_3</t>
  </si>
  <si>
    <t>K_6_4</t>
  </si>
  <si>
    <t>K_7_1</t>
  </si>
  <si>
    <t>K_8_1</t>
  </si>
  <si>
    <t>K_9_1</t>
  </si>
  <si>
    <t>K_1_2</t>
  </si>
  <si>
    <t>K_3_1</t>
  </si>
  <si>
    <t>K_4_3</t>
  </si>
  <si>
    <t>K_5_4</t>
  </si>
  <si>
    <t>K_6_3</t>
  </si>
  <si>
    <t>K_7_4</t>
  </si>
  <si>
    <t>K_8_4</t>
  </si>
  <si>
    <t>K_9_4</t>
  </si>
  <si>
    <t>K_1_3</t>
  </si>
  <si>
    <t>K_3_3</t>
  </si>
  <si>
    <t>Key Matrice</t>
  </si>
  <si>
    <t>Indice Matrice</t>
  </si>
  <si>
    <t>K_10_1</t>
  </si>
  <si>
    <t>Pass</t>
  </si>
  <si>
    <t>Esito</t>
  </si>
  <si>
    <t>Documento</t>
  </si>
  <si>
    <t>Id Requisito</t>
  </si>
  <si>
    <t>Requisito</t>
  </si>
  <si>
    <t>Prodotto</t>
  </si>
  <si>
    <t>Cover by</t>
  </si>
  <si>
    <t>Riga</t>
  </si>
  <si>
    <t>Colonna</t>
  </si>
  <si>
    <t>Fail</t>
  </si>
  <si>
    <t>Cubyko</t>
  </si>
  <si>
    <t>Product conformity matrix</t>
  </si>
  <si>
    <t>CoverBy</t>
  </si>
  <si>
    <t>Image</t>
  </si>
  <si>
    <t>IdImage</t>
  </si>
  <si>
    <t>rp21lab0144</t>
  </si>
  <si>
    <t>rp18lab0014</t>
  </si>
  <si>
    <t>rp21lab0123</t>
  </si>
  <si>
    <t>rp20lab0030</t>
  </si>
  <si>
    <t>wm20lab0004</t>
  </si>
  <si>
    <t>rp16lab0018</t>
  </si>
  <si>
    <t>Systo</t>
  </si>
  <si>
    <t>Requisito 1</t>
  </si>
  <si>
    <t>Key</t>
  </si>
  <si>
    <t>Text</t>
  </si>
  <si>
    <t>Prodotto 1</t>
  </si>
  <si>
    <t>Test</t>
  </si>
  <si>
    <t>K_1_1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</si>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</sst>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5" fillId="0" borderId="2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</cellXfs>
  <cellStyles count="1">
    <cellStyle name="Normale" xfId="0" builtinId="0"/>
  </cellStyles>
  <dxfs count="29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</xdr:colOff>
      <xdr:row>0</xdr:row>
      <xdr:rowOff>66675</xdr:rowOff>
    </xdr:from>
    <xdr:ext cx="4218591" cy="609013"/>
    <xdr:sp macro="" textlink="">
      <xdr:nvSpPr>
        <xdr:cNvPr id="2" name="CasellaDiTesto 1"/>
        <xdr:cNvSpPr txBox="1"/>
      </xdr:nvSpPr>
      <xdr:spPr>
        <a:xfrm>
          <a:off x="4352925" y="66675"/>
          <a:ext cx="4218591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>
              <a:solidFill>
                <a:srgbClr val="FF0000"/>
              </a:solidFill>
            </a:rPr>
            <a:t>Qui</a:t>
          </a:r>
          <a:r>
            <a:rPr lang="it-IT" sz="1100" baseline="0">
              <a:solidFill>
                <a:srgbClr val="FF0000"/>
              </a:solidFill>
            </a:rPr>
            <a:t> sono salvate le  chiavi univoche per eseguire la ricerca dei requisiti</a:t>
          </a:r>
        </a:p>
        <a:p>
          <a:r>
            <a:rPr lang="it-IT" sz="1100" baseline="0">
              <a:solidFill>
                <a:srgbClr val="FF0000"/>
              </a:solidFill>
            </a:rPr>
            <a:t>Key = K + IdRequisiti + IdProdotto</a:t>
          </a:r>
        </a:p>
        <a:p>
          <a:r>
            <a:rPr lang="it-IT" sz="1100" baseline="0">
              <a:solidFill>
                <a:srgbClr val="FF0000"/>
              </a:solidFill>
            </a:rPr>
            <a:t>Valore = Indice del array valori per quel Requisito e prodotto</a:t>
          </a:r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123825</xdr:rowOff>
    </xdr:from>
    <xdr:to>
      <xdr:col>12</xdr:col>
      <xdr:colOff>38100</xdr:colOff>
      <xdr:row>9</xdr:row>
      <xdr:rowOff>219075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dProdot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Prodot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1200" y="123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possono essere utilizzati a partire da Excel 2010.
Se la forma è stata modificata in una versione precedente di Excel o se la cartella di lavoro è stata salvata in Excel 2003 o versioni precedenti, non sarà possibile utilizzare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0</xdr:row>
          <xdr:rowOff>114300</xdr:rowOff>
        </xdr:from>
        <xdr:to>
          <xdr:col>17</xdr:col>
          <xdr:colOff>361950</xdr:colOff>
          <xdr:row>16</xdr:row>
          <xdr:rowOff>19050</xdr:rowOff>
        </xdr:to>
        <xdr:pic>
          <xdr:nvPicPr>
            <xdr:cNvPr id="3" name="Immagine 2"/>
            <xdr:cNvPicPr>
              <a:picLocks noChangeAspect="1" noChangeArrowheads="1"/>
              <a:extLst>
                <a:ext uri="{84589F7E-364E-4C9E-8A38-B11213B215E9}">
                  <a14:cameraTool cellRange="piv!$A$1:$C$22" spid="_x0000_s33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96275" y="114300"/>
              <a:ext cx="2695575" cy="420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19050</xdr:rowOff>
    </xdr:from>
    <xdr:to>
      <xdr:col>1</xdr:col>
      <xdr:colOff>1377526</xdr:colOff>
      <xdr:row>0</xdr:row>
      <xdr:rowOff>883050</xdr:rowOff>
    </xdr:to>
    <xdr:sp macro="[0]!EditCella" textlink="">
      <xdr:nvSpPr>
        <xdr:cNvPr id="2" name="Rettangolo 1"/>
        <xdr:cNvSpPr/>
      </xdr:nvSpPr>
      <xdr:spPr>
        <a:xfrm>
          <a:off x="9526" y="19050"/>
          <a:ext cx="1368000" cy="864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>
              <a:solidFill>
                <a:schemeClr val="tx1"/>
              </a:solidFill>
            </a:rPr>
            <a:t>Edit cell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1008000</xdr:colOff>
      <xdr:row>0</xdr:row>
      <xdr:rowOff>360000</xdr:rowOff>
    </xdr:to>
    <xdr:sp macro="[0]!MostraPageMatrice" textlink="">
      <xdr:nvSpPr>
        <xdr:cNvPr id="2" name="Rettangolo 1"/>
        <xdr:cNvSpPr/>
      </xdr:nvSpPr>
      <xdr:spPr>
        <a:xfrm>
          <a:off x="0" y="0"/>
          <a:ext cx="1008000" cy="360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Back</a:t>
          </a:r>
        </a:p>
      </xdr:txBody>
    </xdr:sp>
    <xdr:clientData fPrintsWithSheet="0"/>
  </xdr:twoCellAnchor>
  <xdr:twoCellAnchor editAs="absolute">
    <xdr:from>
      <xdr:col>1</xdr:col>
      <xdr:colOff>314325</xdr:colOff>
      <xdr:row>0</xdr:row>
      <xdr:rowOff>0</xdr:rowOff>
    </xdr:from>
    <xdr:to>
      <xdr:col>1</xdr:col>
      <xdr:colOff>1754325</xdr:colOff>
      <xdr:row>0</xdr:row>
      <xdr:rowOff>360000</xdr:rowOff>
    </xdr:to>
    <xdr:sp macro="[0]!SaveCella" textlink="">
      <xdr:nvSpPr>
        <xdr:cNvPr id="3" name="Rettangolo 2"/>
        <xdr:cNvSpPr/>
      </xdr:nvSpPr>
      <xdr:spPr>
        <a:xfrm>
          <a:off x="1571625" y="0"/>
          <a:ext cx="1440000" cy="360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Save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828000</xdr:colOff>
      <xdr:row>2</xdr:row>
      <xdr:rowOff>828000</xdr:rowOff>
    </xdr:to>
    <xdr:sp macro="" textlink="">
      <xdr:nvSpPr>
        <xdr:cNvPr id="9" name="Rettangolo 8"/>
        <xdr:cNvSpPr/>
      </xdr:nvSpPr>
      <xdr:spPr>
        <a:xfrm>
          <a:off x="609600" y="1143000"/>
          <a:ext cx="828000" cy="828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828000</xdr:colOff>
      <xdr:row>3</xdr:row>
      <xdr:rowOff>828000</xdr:rowOff>
    </xdr:to>
    <xdr:sp macro="" textlink="">
      <xdr:nvSpPr>
        <xdr:cNvPr id="10" name="Rettangolo 9"/>
        <xdr:cNvSpPr/>
      </xdr:nvSpPr>
      <xdr:spPr>
        <a:xfrm>
          <a:off x="609600" y="2095500"/>
          <a:ext cx="828000" cy="828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828000</xdr:colOff>
      <xdr:row>4</xdr:row>
      <xdr:rowOff>828000</xdr:rowOff>
    </xdr:to>
    <xdr:sp macro="" textlink="">
      <xdr:nvSpPr>
        <xdr:cNvPr id="11" name="Rettangolo 10"/>
        <xdr:cNvSpPr/>
      </xdr:nvSpPr>
      <xdr:spPr>
        <a:xfrm>
          <a:off x="609600" y="3048000"/>
          <a:ext cx="828000" cy="82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828000</xdr:colOff>
      <xdr:row>5</xdr:row>
      <xdr:rowOff>828000</xdr:rowOff>
    </xdr:to>
    <xdr:sp macro="" textlink="">
      <xdr:nvSpPr>
        <xdr:cNvPr id="12" name="Rettangolo 11"/>
        <xdr:cNvSpPr/>
      </xdr:nvSpPr>
      <xdr:spPr>
        <a:xfrm>
          <a:off x="609600" y="4000500"/>
          <a:ext cx="828000" cy="8280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828000</xdr:colOff>
      <xdr:row>6</xdr:row>
      <xdr:rowOff>828000</xdr:rowOff>
    </xdr:to>
    <xdr:sp macro="" textlink="">
      <xdr:nvSpPr>
        <xdr:cNvPr id="13" name="Rettangolo 12"/>
        <xdr:cNvSpPr/>
      </xdr:nvSpPr>
      <xdr:spPr>
        <a:xfrm>
          <a:off x="609600" y="4953000"/>
          <a:ext cx="828000" cy="82800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828000</xdr:colOff>
      <xdr:row>7</xdr:row>
      <xdr:rowOff>828000</xdr:rowOff>
    </xdr:to>
    <xdr:sp macro="" textlink="">
      <xdr:nvSpPr>
        <xdr:cNvPr id="14" name="Rettangolo 13"/>
        <xdr:cNvSpPr/>
      </xdr:nvSpPr>
      <xdr:spPr>
        <a:xfrm>
          <a:off x="609600" y="5905500"/>
          <a:ext cx="828000" cy="828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828000</xdr:colOff>
      <xdr:row>1</xdr:row>
      <xdr:rowOff>828000</xdr:rowOff>
    </xdr:to>
    <xdr:sp macro="" textlink="">
      <xdr:nvSpPr>
        <xdr:cNvPr id="15" name="Rettangolo 14"/>
        <xdr:cNvSpPr/>
      </xdr:nvSpPr>
      <xdr:spPr>
        <a:xfrm>
          <a:off x="609600" y="190500"/>
          <a:ext cx="828000" cy="828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kit Sandhu" refreshedDate="44488.861773842589" createdVersion="4" refreshedVersion="4" minRefreshableVersion="3" recordCount="18">
  <cacheSource type="worksheet">
    <worksheetSource ref="A1:D19" sheet="dati"/>
  </cacheSource>
  <cacheFields count="4">
    <cacheField name="IdRequisito" numFmtId="0">
      <sharedItems containsSemiMixedTypes="0" containsString="0" containsNumber="1" containsInteger="1" minValue="1" maxValue="9" count="9">
        <n v="2"/>
        <n v="3"/>
        <n v="4"/>
        <n v="5"/>
        <n v="6"/>
        <n v="7"/>
        <n v="8"/>
        <n v="9"/>
        <n v="1"/>
      </sharedItems>
    </cacheField>
    <cacheField name="IdProdotto" numFmtId="0">
      <sharedItems containsSemiMixedTypes="0" containsString="0" containsNumber="1" containsInteger="1" minValue="1" maxValue="4" count="4">
        <n v="2"/>
        <n v="4"/>
        <n v="3"/>
        <n v="1"/>
      </sharedItems>
    </cacheField>
    <cacheField name="Status" numFmtId="0">
      <sharedItems containsSemiMixedTypes="0" containsString="0" containsNumber="1" containsInteger="1" minValue="1" maxValue="5" count="5">
        <n v="3"/>
        <n v="2"/>
        <n v="4"/>
        <n v="1"/>
        <n v="5"/>
      </sharedItems>
    </cacheField>
    <cacheField name="Id" numFmtId="0">
      <sharedItems containsSemiMixedTypes="0" containsString="0" containsNumber="1" containsInteger="1" minValue="2" maxValue="1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2"/>
  </r>
  <r>
    <x v="1"/>
    <x v="1"/>
    <x v="1"/>
    <n v="3"/>
  </r>
  <r>
    <x v="2"/>
    <x v="0"/>
    <x v="2"/>
    <n v="4"/>
  </r>
  <r>
    <x v="3"/>
    <x v="2"/>
    <x v="1"/>
    <n v="5"/>
  </r>
  <r>
    <x v="4"/>
    <x v="1"/>
    <x v="2"/>
    <n v="6"/>
  </r>
  <r>
    <x v="5"/>
    <x v="3"/>
    <x v="0"/>
    <n v="7"/>
  </r>
  <r>
    <x v="6"/>
    <x v="3"/>
    <x v="2"/>
    <n v="8"/>
  </r>
  <r>
    <x v="7"/>
    <x v="3"/>
    <x v="3"/>
    <n v="9"/>
  </r>
  <r>
    <x v="8"/>
    <x v="0"/>
    <x v="2"/>
    <n v="10"/>
  </r>
  <r>
    <x v="1"/>
    <x v="3"/>
    <x v="4"/>
    <n v="11"/>
  </r>
  <r>
    <x v="2"/>
    <x v="2"/>
    <x v="1"/>
    <n v="12"/>
  </r>
  <r>
    <x v="3"/>
    <x v="1"/>
    <x v="1"/>
    <n v="13"/>
  </r>
  <r>
    <x v="4"/>
    <x v="2"/>
    <x v="0"/>
    <n v="14"/>
  </r>
  <r>
    <x v="5"/>
    <x v="1"/>
    <x v="1"/>
    <n v="15"/>
  </r>
  <r>
    <x v="6"/>
    <x v="1"/>
    <x v="0"/>
    <n v="16"/>
  </r>
  <r>
    <x v="7"/>
    <x v="1"/>
    <x v="2"/>
    <n v="17"/>
  </r>
  <r>
    <x v="8"/>
    <x v="2"/>
    <x v="2"/>
    <n v="18"/>
  </r>
  <r>
    <x v="1"/>
    <x v="2"/>
    <x v="1"/>
    <n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4" minRefreshableVersion="3" useAutoFormatting="1" rowGrandTotals="0" colGrandTotals="0" itemPrintTitles="1" createdVersion="4" indent="0" compact="0" compactData="0" multipleFieldFilters="0">
  <location ref="A3:C7" firstHeaderRow="1" firstDataRow="1" firstDataCol="3"/>
  <pivotFields count="4">
    <pivotField axis="axisRow" compact="0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h="1" x="0"/>
        <item h="1"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1"/>
        <item x="0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4">
    <i>
      <x v="2"/>
      <x/>
      <x v="4"/>
    </i>
    <i>
      <x v="6"/>
      <x/>
      <x v="2"/>
    </i>
    <i>
      <x v="7"/>
      <x/>
      <x v="3"/>
    </i>
    <i>
      <x v="8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FiltroDati_IdProdotto" sourceName="IdProdotto">
  <pivotTables>
    <pivotTable tabId="8" name="Tabella_pivot1"/>
  </pivotTables>
  <data>
    <tabular pivotCacheId="1">
      <items count="4">
        <i x="3" s="1"/>
        <i x="0"/>
        <i x="2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dProdotto" cache="FiltroDati_IdProdotto" caption="IdProdotto" rowHeight="241300"/>
</slicers>
</file>

<file path=xl/tables/table1.xml><?xml version="1.0" encoding="utf-8"?>
<table xmlns="http://schemas.openxmlformats.org/spreadsheetml/2006/main" id="1" name="Tab.db" displayName="Tab.db" ref="A1:I20" totalsRowShown="0" headerRowDxfId="18" dataDxfId="28">
  <autoFilter ref="A1:I20"/>
  <tableColumns count="9">
    <tableColumn id="1" name="Id" dataDxfId="27"/>
    <tableColumn id="2" name="IdRequisito" dataDxfId="26"/>
    <tableColumn id="3" name="IdProdotto" dataDxfId="25"/>
    <tableColumn id="4" name="IdImage" dataDxfId="24"/>
    <tableColumn id="7" name="Esito" dataDxfId="23"/>
    <tableColumn id="8" name="Documento" dataDxfId="22"/>
    <tableColumn id="9" name="CoverBy" dataDxfId="21"/>
    <tableColumn id="10" name="Key" dataDxfId="19">
      <calculatedColumnFormula>My_CreaKeyCella(Tab.db[[#This Row],[IdRequisito]],Tab.db[[#This Row],[IdProdotto]])</calculatedColumnFormula>
    </tableColumn>
    <tableColumn id="5" name="Text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i"/>
  <dimension ref="A1:D20"/>
  <sheetViews>
    <sheetView workbookViewId="0">
      <pane ySplit="1" topLeftCell="A2" activePane="bottomLeft" state="frozen"/>
      <selection pane="bottomLeft" activeCell="A2" sqref="A2:B20"/>
    </sheetView>
  </sheetViews>
  <sheetFormatPr defaultRowHeight="15" x14ac:dyDescent="0.25"/>
  <cols>
    <col min="1" max="1" width="11.140625" bestFit="1" customWidth="1"/>
    <col min="2" max="2" width="10.5703125" bestFit="1" customWidth="1"/>
    <col min="3" max="3" width="9.140625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0</v>
      </c>
    </row>
    <row r="2" spans="1:4" x14ac:dyDescent="0.25">
      <c r="A2" s="1">
        <v>2</v>
      </c>
      <c r="B2">
        <v>2</v>
      </c>
      <c r="C2">
        <v>3</v>
      </c>
      <c r="D2">
        <f>ROW()</f>
        <v>2</v>
      </c>
    </row>
    <row r="3" spans="1:4" x14ac:dyDescent="0.25">
      <c r="A3" s="1">
        <v>3</v>
      </c>
      <c r="B3">
        <v>4</v>
      </c>
      <c r="C3">
        <v>2</v>
      </c>
      <c r="D3">
        <f>ROW()</f>
        <v>3</v>
      </c>
    </row>
    <row r="4" spans="1:4" x14ac:dyDescent="0.25">
      <c r="A4" s="1">
        <v>4</v>
      </c>
      <c r="B4">
        <v>2</v>
      </c>
      <c r="C4">
        <v>4</v>
      </c>
      <c r="D4">
        <f>ROW()</f>
        <v>4</v>
      </c>
    </row>
    <row r="5" spans="1:4" x14ac:dyDescent="0.25">
      <c r="A5" s="1">
        <v>5</v>
      </c>
      <c r="B5">
        <v>3</v>
      </c>
      <c r="C5">
        <v>2</v>
      </c>
      <c r="D5">
        <f>ROW()</f>
        <v>5</v>
      </c>
    </row>
    <row r="6" spans="1:4" x14ac:dyDescent="0.25">
      <c r="A6" s="1">
        <v>6</v>
      </c>
      <c r="B6">
        <v>4</v>
      </c>
      <c r="C6">
        <v>4</v>
      </c>
      <c r="D6">
        <f>ROW()</f>
        <v>6</v>
      </c>
    </row>
    <row r="7" spans="1:4" x14ac:dyDescent="0.25">
      <c r="A7" s="1">
        <v>7</v>
      </c>
      <c r="B7">
        <v>1</v>
      </c>
      <c r="C7">
        <v>3</v>
      </c>
      <c r="D7">
        <f>ROW()</f>
        <v>7</v>
      </c>
    </row>
    <row r="8" spans="1:4" x14ac:dyDescent="0.25">
      <c r="A8" s="1">
        <v>8</v>
      </c>
      <c r="B8">
        <v>1</v>
      </c>
      <c r="C8">
        <v>4</v>
      </c>
      <c r="D8">
        <f>ROW()</f>
        <v>8</v>
      </c>
    </row>
    <row r="9" spans="1:4" x14ac:dyDescent="0.25">
      <c r="A9" s="1">
        <v>9</v>
      </c>
      <c r="B9">
        <v>1</v>
      </c>
      <c r="C9">
        <v>1</v>
      </c>
      <c r="D9">
        <f>ROW()</f>
        <v>9</v>
      </c>
    </row>
    <row r="10" spans="1:4" x14ac:dyDescent="0.25">
      <c r="A10" s="1">
        <v>1</v>
      </c>
      <c r="B10">
        <v>2</v>
      </c>
      <c r="C10">
        <v>4</v>
      </c>
      <c r="D10">
        <f>ROW()</f>
        <v>10</v>
      </c>
    </row>
    <row r="11" spans="1:4" x14ac:dyDescent="0.25">
      <c r="A11" s="1">
        <v>3</v>
      </c>
      <c r="B11">
        <v>1</v>
      </c>
      <c r="C11">
        <v>5</v>
      </c>
      <c r="D11">
        <f>ROW()</f>
        <v>11</v>
      </c>
    </row>
    <row r="12" spans="1:4" x14ac:dyDescent="0.25">
      <c r="A12" s="1">
        <v>4</v>
      </c>
      <c r="B12">
        <v>3</v>
      </c>
      <c r="C12">
        <v>2</v>
      </c>
      <c r="D12">
        <f>ROW()</f>
        <v>12</v>
      </c>
    </row>
    <row r="13" spans="1:4" x14ac:dyDescent="0.25">
      <c r="A13" s="1">
        <v>5</v>
      </c>
      <c r="B13">
        <v>4</v>
      </c>
      <c r="C13">
        <v>2</v>
      </c>
      <c r="D13">
        <f>ROW()</f>
        <v>13</v>
      </c>
    </row>
    <row r="14" spans="1:4" x14ac:dyDescent="0.25">
      <c r="A14" s="1">
        <v>6</v>
      </c>
      <c r="B14">
        <v>3</v>
      </c>
      <c r="C14">
        <v>3</v>
      </c>
      <c r="D14">
        <f>ROW()</f>
        <v>14</v>
      </c>
    </row>
    <row r="15" spans="1:4" x14ac:dyDescent="0.25">
      <c r="A15" s="1">
        <v>7</v>
      </c>
      <c r="B15">
        <v>4</v>
      </c>
      <c r="C15">
        <v>2</v>
      </c>
      <c r="D15">
        <f>ROW()</f>
        <v>15</v>
      </c>
    </row>
    <row r="16" spans="1:4" x14ac:dyDescent="0.25">
      <c r="A16" s="1">
        <v>8</v>
      </c>
      <c r="B16">
        <v>4</v>
      </c>
      <c r="C16">
        <v>3</v>
      </c>
      <c r="D16">
        <f>ROW()</f>
        <v>16</v>
      </c>
    </row>
    <row r="17" spans="1:4" x14ac:dyDescent="0.25">
      <c r="A17" s="1">
        <v>9</v>
      </c>
      <c r="B17">
        <v>4</v>
      </c>
      <c r="C17">
        <v>4</v>
      </c>
      <c r="D17">
        <f>ROW()</f>
        <v>17</v>
      </c>
    </row>
    <row r="18" spans="1:4" x14ac:dyDescent="0.25">
      <c r="A18" s="1">
        <v>1</v>
      </c>
      <c r="B18">
        <v>3</v>
      </c>
      <c r="C18">
        <v>4</v>
      </c>
      <c r="D18">
        <f>ROW()</f>
        <v>18</v>
      </c>
    </row>
    <row r="19" spans="1:4" x14ac:dyDescent="0.25">
      <c r="A19" s="1">
        <v>3</v>
      </c>
      <c r="B19">
        <v>3</v>
      </c>
      <c r="C19">
        <v>2</v>
      </c>
      <c r="D19">
        <f>ROW()</f>
        <v>19</v>
      </c>
    </row>
    <row r="20" spans="1:4" x14ac:dyDescent="0.25">
      <c r="A20" s="1">
        <v>10</v>
      </c>
      <c r="B20">
        <v>1</v>
      </c>
      <c r="C20">
        <v>2</v>
      </c>
      <c r="D20">
        <f>ROW()</f>
        <v>20</v>
      </c>
    </row>
  </sheetData>
  <autoFilter ref="A1:D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3:C7"/>
  <sheetViews>
    <sheetView workbookViewId="0"/>
  </sheetViews>
  <sheetFormatPr defaultRowHeight="15" x14ac:dyDescent="0.25"/>
  <cols>
    <col min="1" max="1" width="18.28515625" bestFit="1" customWidth="1"/>
    <col min="2" max="2" width="12.85546875" bestFit="1" customWidth="1"/>
    <col min="3" max="3" width="8.7109375" customWidth="1"/>
  </cols>
  <sheetData>
    <row r="3" spans="1:3" x14ac:dyDescent="0.25">
      <c r="A3" s="4" t="s">
        <v>1</v>
      </c>
      <c r="B3" s="4" t="s">
        <v>2</v>
      </c>
      <c r="C3" s="4" t="s">
        <v>3</v>
      </c>
    </row>
    <row r="4" spans="1:3" x14ac:dyDescent="0.25">
      <c r="A4">
        <v>3</v>
      </c>
      <c r="B4">
        <v>1</v>
      </c>
      <c r="C4">
        <v>5</v>
      </c>
    </row>
    <row r="5" spans="1:3" x14ac:dyDescent="0.25">
      <c r="A5">
        <v>7</v>
      </c>
      <c r="B5">
        <v>1</v>
      </c>
      <c r="C5">
        <v>3</v>
      </c>
    </row>
    <row r="6" spans="1:3" x14ac:dyDescent="0.25">
      <c r="A6">
        <v>8</v>
      </c>
      <c r="B6">
        <v>1</v>
      </c>
      <c r="C6">
        <v>4</v>
      </c>
    </row>
    <row r="7" spans="1:3" x14ac:dyDescent="0.25">
      <c r="A7">
        <v>9</v>
      </c>
      <c r="B7">
        <v>1</v>
      </c>
      <c r="C7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p"/>
  <dimension ref="A1:B20"/>
  <sheetViews>
    <sheetView workbookViewId="0"/>
  </sheetViews>
  <sheetFormatPr defaultColWidth="10.85546875"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4</v>
      </c>
      <c r="B2">
        <v>2</v>
      </c>
    </row>
    <row r="3" spans="1:2" x14ac:dyDescent="0.25">
      <c r="A3" t="s">
        <v>5</v>
      </c>
      <c r="B3">
        <v>3</v>
      </c>
    </row>
    <row r="4" spans="1:2" x14ac:dyDescent="0.25">
      <c r="A4" t="s">
        <v>6</v>
      </c>
      <c r="B4">
        <v>4</v>
      </c>
    </row>
    <row r="5" spans="1:2" x14ac:dyDescent="0.25">
      <c r="A5" t="s">
        <v>7</v>
      </c>
      <c r="B5">
        <v>5</v>
      </c>
    </row>
    <row r="6" spans="1:2" x14ac:dyDescent="0.25">
      <c r="A6" t="s">
        <v>8</v>
      </c>
      <c r="B6">
        <v>6</v>
      </c>
    </row>
    <row r="7" spans="1:2" x14ac:dyDescent="0.25">
      <c r="A7" t="s">
        <v>9</v>
      </c>
      <c r="B7">
        <v>7</v>
      </c>
    </row>
    <row r="8" spans="1:2" x14ac:dyDescent="0.25">
      <c r="A8" t="s">
        <v>10</v>
      </c>
      <c r="B8">
        <v>8</v>
      </c>
    </row>
    <row r="9" spans="1:2" x14ac:dyDescent="0.25">
      <c r="A9" t="s">
        <v>11</v>
      </c>
      <c r="B9">
        <v>9</v>
      </c>
    </row>
    <row r="10" spans="1:2" x14ac:dyDescent="0.25">
      <c r="A10" t="s">
        <v>12</v>
      </c>
      <c r="B10">
        <v>10</v>
      </c>
    </row>
    <row r="11" spans="1:2" x14ac:dyDescent="0.25">
      <c r="A11" t="s">
        <v>13</v>
      </c>
      <c r="B11">
        <v>11</v>
      </c>
    </row>
    <row r="12" spans="1:2" x14ac:dyDescent="0.25">
      <c r="A12" t="s">
        <v>14</v>
      </c>
      <c r="B12">
        <v>12</v>
      </c>
    </row>
    <row r="13" spans="1:2" x14ac:dyDescent="0.25">
      <c r="A13" t="s">
        <v>15</v>
      </c>
      <c r="B13">
        <v>13</v>
      </c>
    </row>
    <row r="14" spans="1:2" x14ac:dyDescent="0.25">
      <c r="A14" t="s">
        <v>16</v>
      </c>
      <c r="B14">
        <v>14</v>
      </c>
    </row>
    <row r="15" spans="1:2" x14ac:dyDescent="0.25">
      <c r="A15" t="s">
        <v>17</v>
      </c>
      <c r="B15">
        <v>15</v>
      </c>
    </row>
    <row r="16" spans="1:2" x14ac:dyDescent="0.25">
      <c r="A16" t="s">
        <v>18</v>
      </c>
      <c r="B16">
        <v>16</v>
      </c>
    </row>
    <row r="17" spans="1:2" x14ac:dyDescent="0.25">
      <c r="A17" t="s">
        <v>19</v>
      </c>
      <c r="B17">
        <v>17</v>
      </c>
    </row>
    <row r="18" spans="1:2" x14ac:dyDescent="0.25">
      <c r="A18" t="s">
        <v>20</v>
      </c>
      <c r="B18">
        <v>18</v>
      </c>
    </row>
    <row r="19" spans="1:2" x14ac:dyDescent="0.25">
      <c r="A19" t="s">
        <v>21</v>
      </c>
      <c r="B19">
        <v>19</v>
      </c>
    </row>
    <row r="20" spans="1:2" x14ac:dyDescent="0.25">
      <c r="A20" t="s">
        <v>24</v>
      </c>
      <c r="B20">
        <v>20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Ui"/>
  <dimension ref="A1:E11"/>
  <sheetViews>
    <sheetView showGridLines="0" workbookViewId="0">
      <selection activeCell="C9" sqref="C9"/>
    </sheetView>
  </sheetViews>
  <sheetFormatPr defaultRowHeight="21" x14ac:dyDescent="0.25"/>
  <cols>
    <col min="1" max="1" width="11.140625" style="2" bestFit="1" customWidth="1"/>
    <col min="2" max="7" width="9.140625" style="1"/>
    <col min="8" max="8" width="11.140625" style="1" bestFit="1" customWidth="1"/>
    <col min="9" max="9" width="9.140625" style="1" customWidth="1"/>
    <col min="10" max="16384" width="9.140625" style="1"/>
  </cols>
  <sheetData>
    <row r="1" spans="1:5" s="3" customFormat="1" ht="23.25" x14ac:dyDescent="0.25">
      <c r="B1" s="3">
        <v>2</v>
      </c>
      <c r="C1" s="3">
        <v>4</v>
      </c>
      <c r="D1" s="3">
        <v>3</v>
      </c>
      <c r="E1" s="3">
        <v>1</v>
      </c>
    </row>
    <row r="2" spans="1:5" x14ac:dyDescent="0.25">
      <c r="A2" s="2">
        <v>2</v>
      </c>
      <c r="B2" s="1">
        <v>2</v>
      </c>
    </row>
    <row r="3" spans="1:5" x14ac:dyDescent="0.25">
      <c r="A3" s="2">
        <v>3</v>
      </c>
      <c r="C3" s="1">
        <v>3</v>
      </c>
      <c r="D3" s="1">
        <v>19</v>
      </c>
      <c r="E3" s="1">
        <v>11</v>
      </c>
    </row>
    <row r="4" spans="1:5" x14ac:dyDescent="0.25">
      <c r="A4" s="2">
        <v>4</v>
      </c>
      <c r="B4" s="1">
        <v>4</v>
      </c>
      <c r="D4" s="1">
        <v>12</v>
      </c>
    </row>
    <row r="5" spans="1:5" x14ac:dyDescent="0.25">
      <c r="A5" s="2">
        <v>5</v>
      </c>
      <c r="C5" s="1">
        <v>13</v>
      </c>
      <c r="D5" s="1">
        <v>5</v>
      </c>
    </row>
    <row r="6" spans="1:5" x14ac:dyDescent="0.25">
      <c r="A6" s="2">
        <v>6</v>
      </c>
      <c r="C6" s="1">
        <v>6</v>
      </c>
      <c r="D6" s="1">
        <v>14</v>
      </c>
    </row>
    <row r="7" spans="1:5" x14ac:dyDescent="0.25">
      <c r="A7" s="2">
        <v>7</v>
      </c>
      <c r="C7" s="1">
        <v>15</v>
      </c>
      <c r="E7" s="1">
        <v>7</v>
      </c>
    </row>
    <row r="8" spans="1:5" x14ac:dyDescent="0.25">
      <c r="A8" s="2">
        <v>8</v>
      </c>
      <c r="C8" s="1">
        <v>16</v>
      </c>
      <c r="E8" s="1">
        <v>8</v>
      </c>
    </row>
    <row r="9" spans="1:5" x14ac:dyDescent="0.25">
      <c r="A9" s="2">
        <v>9</v>
      </c>
      <c r="C9" s="1">
        <v>17</v>
      </c>
      <c r="E9" s="1">
        <v>9</v>
      </c>
    </row>
    <row r="10" spans="1:5" x14ac:dyDescent="0.25">
      <c r="A10" s="2">
        <v>1</v>
      </c>
      <c r="B10" s="1">
        <v>10</v>
      </c>
      <c r="D10" s="1">
        <v>18</v>
      </c>
    </row>
    <row r="11" spans="1:5" x14ac:dyDescent="0.25">
      <c r="A11" s="2">
        <v>10</v>
      </c>
      <c r="E11" s="1">
        <v>20</v>
      </c>
    </row>
  </sheetData>
  <sortState ref="H2:L10">
    <sortCondition ref="H2:H10"/>
  </sortState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matrice"/>
  <dimension ref="A1:I23"/>
  <sheetViews>
    <sheetView tabSelected="1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RowHeight="15" x14ac:dyDescent="0.25"/>
  <cols>
    <col min="1" max="1" width="11.5703125" hidden="1" customWidth="1"/>
    <col min="2" max="2" width="20.7109375" customWidth="1"/>
    <col min="3" max="9" width="14.7109375" customWidth="1"/>
  </cols>
  <sheetData>
    <row r="1" spans="1:9" ht="69.95" customHeight="1" x14ac:dyDescent="0.25">
      <c r="A1" s="18" t="s">
        <v>36</v>
      </c>
      <c r="B1" s="19"/>
      <c r="C1" s="14"/>
      <c r="D1" s="14"/>
      <c r="E1" s="14"/>
      <c r="F1" s="14"/>
      <c r="G1" s="14"/>
      <c r="H1" s="14"/>
      <c r="I1" s="14"/>
    </row>
    <row r="2" spans="1:9" hidden="1" x14ac:dyDescent="0.25">
      <c r="A2" s="6"/>
      <c r="B2" s="6"/>
      <c r="C2" s="6">
        <v>1</v>
      </c>
      <c r="D2" s="6">
        <v>2</v>
      </c>
      <c r="E2" s="6">
        <v>3</v>
      </c>
      <c r="F2" s="6">
        <v>4</v>
      </c>
      <c r="G2" s="6"/>
      <c r="H2" s="6"/>
      <c r="I2" s="6"/>
    </row>
    <row r="3" spans="1:9" ht="36" customHeight="1" x14ac:dyDescent="0.25">
      <c r="A3" s="6" t="s">
        <v>28</v>
      </c>
      <c r="B3" s="20" t="s">
        <v>29</v>
      </c>
      <c r="C3" s="20" t="str">
        <f>CONCATENATE("Prodotto ",C2)</f>
        <v>Prodotto 1</v>
      </c>
      <c r="D3" s="20" t="str">
        <f t="shared" ref="D3:F3" si="0">CONCATENATE("Prodotto ",D2)</f>
        <v>Prodotto 2</v>
      </c>
      <c r="E3" s="20" t="str">
        <f t="shared" si="0"/>
        <v>Prodotto 3</v>
      </c>
      <c r="F3" s="20" t="str">
        <f t="shared" si="0"/>
        <v>Prodotto 4</v>
      </c>
      <c r="G3" s="20"/>
      <c r="H3" s="20"/>
      <c r="I3" s="20"/>
    </row>
    <row r="4" spans="1:9" ht="36" customHeight="1" x14ac:dyDescent="0.25">
      <c r="A4" s="7">
        <v>1</v>
      </c>
      <c r="B4" s="21" t="str">
        <f>CONCATENATE("Requisito ",A4)</f>
        <v>Requisito 1</v>
      </c>
      <c r="C4" s="26" t="str">
        <f>My_TestoCellaMatrice($A4,C$2)</f>
        <v/>
      </c>
      <c r="D4" s="26" t="str">
        <f t="shared" ref="D4:F19" si="1">My_TestoCellaMatrice($A4,D$2)</f>
        <v xml:space="preserve">In progress_x000D_
</v>
      </c>
      <c r="E4" s="26" t="str">
        <f t="shared" si="1"/>
        <v/>
      </c>
      <c r="F4" s="26" t="str">
        <f t="shared" si="1"/>
        <v/>
      </c>
      <c r="G4" s="26" t="str">
        <f>IFERROR(VLOOKUP(My_CreaKeyCella($A4,G$2),Tab.db[[Key]:[Text]],2,FALSE),"")</f>
        <v/>
      </c>
      <c r="H4" s="26" t="str">
        <f>IFERROR(VLOOKUP(My_CreaKeyCella($A4,H$2),Tab.db[[Key]:[Text]],2,FALSE),"")</f>
        <v/>
      </c>
      <c r="I4" s="26" t="str">
        <f>IFERROR(VLOOKUP(My_CreaKeyCella($A4,I$2),Tab.db[[Key]:[Text]],2,FALSE),"")</f>
        <v/>
      </c>
    </row>
    <row r="5" spans="1:9" ht="36" customHeight="1" x14ac:dyDescent="0.25">
      <c r="A5" s="7">
        <v>2</v>
      </c>
      <c r="B5" s="21" t="str">
        <f t="shared" ref="B5:B23" si="2">CONCATENATE("Requisito ",A5)</f>
        <v>Requisito 2</v>
      </c>
      <c r="C5" s="26" t="str">
        <f t="shared" ref="C5:F23" si="3">My_TestoCellaMatrice($A5,C$2)</f>
        <v/>
      </c>
      <c r="D5" s="26" t="str">
        <f t="shared" si="1"/>
        <v/>
      </c>
      <c r="E5" s="26" t="str">
        <f t="shared" si="1"/>
        <v/>
      </c>
      <c r="F5" s="26" t="str">
        <f t="shared" si="1"/>
        <v/>
      </c>
      <c r="G5" s="26" t="str">
        <f>IFERROR(VLOOKUP(My_CreaKeyCella($A5,G$2),Tab.db[[Key]:[Text]],2,FALSE),"")</f>
        <v/>
      </c>
      <c r="H5" s="26" t="str">
        <f>IFERROR(VLOOKUP(My_CreaKeyCella($A5,H$2),Tab.db[[Key]:[Text]],2,FALSE),"")</f>
        <v/>
      </c>
      <c r="I5" s="26" t="str">
        <f>IFERROR(VLOOKUP(My_CreaKeyCella($A5,I$2),Tab.db[[Key]:[Text]],2,FALSE),"")</f>
        <v/>
      </c>
    </row>
    <row r="6" spans="1:9" ht="36" customHeight="1" x14ac:dyDescent="0.25">
      <c r="A6" s="7">
        <v>3</v>
      </c>
      <c r="B6" s="21" t="str">
        <f t="shared" si="2"/>
        <v>Requisito 3</v>
      </c>
      <c r="C6" s="26" t="str">
        <f t="shared" si="3"/>
        <v xml:space="preserve">Pass_x000D_
rp20lab0030_x000D_
Test_x000D_
</v>
      </c>
      <c r="D6" s="26" t="str">
        <f t="shared" si="1"/>
        <v/>
      </c>
      <c r="E6" s="26" t="str">
        <f t="shared" si="1"/>
        <v/>
      </c>
      <c r="F6" s="26" t="str">
        <f t="shared" si="1"/>
        <v xml:space="preserve">Pass_x000D_
rp21lab0144_x000D_
</v>
      </c>
      <c r="G6" s="26" t="str">
        <f>IFERROR(VLOOKUP(My_CreaKeyCella($A6,G$2),Tab.db[[Key]:[Text]],2,FALSE),"")</f>
        <v/>
      </c>
      <c r="H6" s="26" t="str">
        <f>IFERROR(VLOOKUP(My_CreaKeyCella($A6,H$2),Tab.db[[Key]:[Text]],2,FALSE),"")</f>
        <v/>
      </c>
      <c r="I6" s="26" t="str">
        <f>IFERROR(VLOOKUP(My_CreaKeyCella($A6,I$2),Tab.db[[Key]:[Text]],2,FALSE),"")</f>
        <v/>
      </c>
    </row>
    <row r="7" spans="1:9" ht="36" customHeight="1" x14ac:dyDescent="0.25">
      <c r="A7" s="7">
        <v>4</v>
      </c>
      <c r="B7" s="21" t="str">
        <f t="shared" si="2"/>
        <v>Requisito 4</v>
      </c>
      <c r="C7" s="26" t="str">
        <f t="shared" si="3"/>
        <v/>
      </c>
      <c r="D7" s="26" t="str">
        <f t="shared" si="1"/>
        <v/>
      </c>
      <c r="E7" s="26" t="str">
        <f t="shared" si="1"/>
        <v/>
      </c>
      <c r="F7" s="26" t="str">
        <f t="shared" si="1"/>
        <v/>
      </c>
      <c r="G7" s="26" t="str">
        <f>IFERROR(VLOOKUP(My_CreaKeyCella($A7,G$2),Tab.db[[Key]:[Text]],2,FALSE),"")</f>
        <v/>
      </c>
      <c r="H7" s="26" t="str">
        <f>IFERROR(VLOOKUP(My_CreaKeyCella($A7,H$2),Tab.db[[Key]:[Text]],2,FALSE),"")</f>
        <v/>
      </c>
      <c r="I7" s="26" t="str">
        <f>IFERROR(VLOOKUP(My_CreaKeyCella($A7,I$2),Tab.db[[Key]:[Text]],2,FALSE),"")</f>
        <v/>
      </c>
    </row>
    <row r="8" spans="1:9" ht="36" customHeight="1" x14ac:dyDescent="0.25">
      <c r="A8" s="7">
        <v>5</v>
      </c>
      <c r="B8" s="21" t="str">
        <f t="shared" si="2"/>
        <v>Requisito 5</v>
      </c>
      <c r="C8" s="26" t="str">
        <f t="shared" si="3"/>
        <v/>
      </c>
      <c r="D8" s="26" t="str">
        <f t="shared" si="1"/>
        <v/>
      </c>
      <c r="E8" s="26" t="str">
        <f t="shared" si="1"/>
        <v xml:space="preserve">Pass_x000D_
rp18lab0014_x000D_
Test_x000D_
</v>
      </c>
      <c r="F8" s="26" t="str">
        <f t="shared" si="1"/>
        <v/>
      </c>
      <c r="G8" s="26" t="str">
        <f>IFERROR(VLOOKUP(My_CreaKeyCella($A8,G$2),Tab.db[[Key]:[Text]],2,FALSE),"")</f>
        <v/>
      </c>
      <c r="H8" s="26" t="str">
        <f>IFERROR(VLOOKUP(My_CreaKeyCella($A8,H$2),Tab.db[[Key]:[Text]],2,FALSE),"")</f>
        <v/>
      </c>
      <c r="I8" s="26" t="str">
        <f>IFERROR(VLOOKUP(My_CreaKeyCella($A8,I$2),Tab.db[[Key]:[Text]],2,FALSE),"")</f>
        <v/>
      </c>
    </row>
    <row r="9" spans="1:9" ht="36" customHeight="1" x14ac:dyDescent="0.25">
      <c r="A9" s="7">
        <v>6</v>
      </c>
      <c r="B9" s="21" t="str">
        <f t="shared" si="2"/>
        <v>Requisito 6</v>
      </c>
      <c r="C9" s="26" t="str">
        <f t="shared" si="3"/>
        <v/>
      </c>
      <c r="D9" s="26" t="str">
        <f t="shared" si="1"/>
        <v/>
      </c>
      <c r="E9" s="26" t="str">
        <f t="shared" si="1"/>
        <v xml:space="preserve">Fail_x000D_
wm20lab0004_x000D_
Cubyko_x000D_
</v>
      </c>
      <c r="F9" s="26" t="str">
        <f t="shared" si="1"/>
        <v/>
      </c>
      <c r="G9" s="26" t="str">
        <f>IFERROR(VLOOKUP(My_CreaKeyCella($A9,G$2),Tab.db[[Key]:[Text]],2,FALSE),"")</f>
        <v/>
      </c>
      <c r="H9" s="26" t="str">
        <f>IFERROR(VLOOKUP(My_CreaKeyCella($A9,H$2),Tab.db[[Key]:[Text]],2,FALSE),"")</f>
        <v/>
      </c>
      <c r="I9" s="26" t="str">
        <f>IFERROR(VLOOKUP(My_CreaKeyCella($A9,I$2),Tab.db[[Key]:[Text]],2,FALSE),"")</f>
        <v/>
      </c>
    </row>
    <row r="10" spans="1:9" ht="36" customHeight="1" x14ac:dyDescent="0.25">
      <c r="A10" s="7">
        <v>7</v>
      </c>
      <c r="B10" s="21" t="str">
        <f t="shared" si="2"/>
        <v>Requisito 7</v>
      </c>
      <c r="C10" s="26" t="str">
        <f t="shared" si="3"/>
        <v xml:space="preserve">Fail_x000D_
rp21lab0123_x000D_
Systo_x000D_
</v>
      </c>
      <c r="D10" s="26" t="str">
        <f t="shared" si="1"/>
        <v/>
      </c>
      <c r="E10" s="26" t="str">
        <f t="shared" si="1"/>
        <v/>
      </c>
      <c r="F10" s="26" t="str">
        <f t="shared" si="1"/>
        <v/>
      </c>
      <c r="G10" s="26" t="str">
        <f>IFERROR(VLOOKUP(My_CreaKeyCella($A10,G$2),Tab.db[[Key]:[Text]],2,FALSE),"")</f>
        <v/>
      </c>
      <c r="H10" s="26" t="str">
        <f>IFERROR(VLOOKUP(My_CreaKeyCella($A10,H$2),Tab.db[[Key]:[Text]],2,FALSE),"")</f>
        <v/>
      </c>
      <c r="I10" s="26" t="str">
        <f>IFERROR(VLOOKUP(My_CreaKeyCella($A10,I$2),Tab.db[[Key]:[Text]],2,FALSE),"")</f>
        <v/>
      </c>
    </row>
    <row r="11" spans="1:9" ht="36" customHeight="1" x14ac:dyDescent="0.25">
      <c r="A11" s="7">
        <v>8</v>
      </c>
      <c r="B11" s="21" t="str">
        <f t="shared" si="2"/>
        <v>Requisito 8</v>
      </c>
      <c r="C11" s="26" t="str">
        <f t="shared" si="3"/>
        <v/>
      </c>
      <c r="D11" s="26" t="str">
        <f t="shared" si="1"/>
        <v/>
      </c>
      <c r="E11" s="26" t="str">
        <f t="shared" si="1"/>
        <v/>
      </c>
      <c r="F11" s="26" t="str">
        <f t="shared" si="1"/>
        <v/>
      </c>
      <c r="G11" s="26" t="str">
        <f>IFERROR(VLOOKUP(My_CreaKeyCella($A11,G$2),Tab.db[[Key]:[Text]],2,FALSE),"")</f>
        <v/>
      </c>
      <c r="H11" s="26" t="str">
        <f>IFERROR(VLOOKUP(My_CreaKeyCella($A11,H$2),Tab.db[[Key]:[Text]],2,FALSE),"")</f>
        <v/>
      </c>
      <c r="I11" s="26" t="str">
        <f>IFERROR(VLOOKUP(My_CreaKeyCella($A11,I$2),Tab.db[[Key]:[Text]],2,FALSE),"")</f>
        <v/>
      </c>
    </row>
    <row r="12" spans="1:9" ht="36" customHeight="1" x14ac:dyDescent="0.25">
      <c r="A12" s="7">
        <v>9</v>
      </c>
      <c r="B12" s="21" t="str">
        <f t="shared" si="2"/>
        <v>Requisito 9</v>
      </c>
      <c r="C12" s="26" t="str">
        <f t="shared" si="3"/>
        <v/>
      </c>
      <c r="D12" s="26" t="str">
        <f t="shared" si="1"/>
        <v/>
      </c>
      <c r="E12" s="26" t="str">
        <f t="shared" si="1"/>
        <v/>
      </c>
      <c r="F12" s="26" t="str">
        <f t="shared" si="1"/>
        <v xml:space="preserve">Fail_x000D_
rp16lab0018_x000D_
</v>
      </c>
      <c r="G12" s="26" t="str">
        <f>IFERROR(VLOOKUP(My_CreaKeyCella($A12,G$2),Tab.db[[Key]:[Text]],2,FALSE),"")</f>
        <v/>
      </c>
      <c r="H12" s="26" t="str">
        <f>IFERROR(VLOOKUP(My_CreaKeyCella($A12,H$2),Tab.db[[Key]:[Text]],2,FALSE),"")</f>
        <v/>
      </c>
      <c r="I12" s="26" t="str">
        <f>IFERROR(VLOOKUP(My_CreaKeyCella($A12,I$2),Tab.db[[Key]:[Text]],2,FALSE),"")</f>
        <v/>
      </c>
    </row>
    <row r="13" spans="1:9" ht="36" customHeight="1" x14ac:dyDescent="0.25">
      <c r="A13" s="7">
        <v>10</v>
      </c>
      <c r="B13" s="21" t="str">
        <f t="shared" si="2"/>
        <v>Requisito 10</v>
      </c>
      <c r="C13" s="26" t="str">
        <f t="shared" si="3"/>
        <v/>
      </c>
      <c r="D13" s="26" t="str">
        <f t="shared" si="1"/>
        <v/>
      </c>
      <c r="E13" s="26" t="str">
        <f t="shared" si="1"/>
        <v/>
      </c>
      <c r="F13" s="26" t="str">
        <f t="shared" si="1"/>
        <v/>
      </c>
      <c r="G13" s="26" t="str">
        <f>IFERROR(VLOOKUP(My_CreaKeyCella($A13,G$2),Tab.db[[Key]:[Text]],2,FALSE),"")</f>
        <v/>
      </c>
      <c r="H13" s="26" t="str">
        <f>IFERROR(VLOOKUP(My_CreaKeyCella($A13,H$2),Tab.db[[Key]:[Text]],2,FALSE),"")</f>
        <v/>
      </c>
      <c r="I13" s="26" t="str">
        <f>IFERROR(VLOOKUP(My_CreaKeyCella($A13,I$2),Tab.db[[Key]:[Text]],2,FALSE),"")</f>
        <v/>
      </c>
    </row>
    <row r="14" spans="1:9" ht="36" customHeight="1" x14ac:dyDescent="0.25">
      <c r="A14" s="7">
        <v>11</v>
      </c>
      <c r="B14" s="21" t="str">
        <f t="shared" si="2"/>
        <v>Requisito 11</v>
      </c>
      <c r="C14" s="26" t="str">
        <f t="shared" si="3"/>
        <v/>
      </c>
      <c r="D14" s="26" t="str">
        <f t="shared" si="1"/>
        <v/>
      </c>
      <c r="E14" s="26" t="str">
        <f t="shared" si="1"/>
        <v/>
      </c>
      <c r="F14" s="26" t="str">
        <f t="shared" si="1"/>
        <v/>
      </c>
      <c r="G14" s="26" t="str">
        <f>IFERROR(VLOOKUP(My_CreaKeyCella($A14,G$2),Tab.db[[Key]:[Text]],2,FALSE),"")</f>
        <v/>
      </c>
      <c r="H14" s="26" t="str">
        <f>IFERROR(VLOOKUP(My_CreaKeyCella($A14,H$2),Tab.db[[Key]:[Text]],2,FALSE),"")</f>
        <v/>
      </c>
      <c r="I14" s="26" t="str">
        <f>IFERROR(VLOOKUP(My_CreaKeyCella($A14,I$2),Tab.db[[Key]:[Text]],2,FALSE),"")</f>
        <v/>
      </c>
    </row>
    <row r="15" spans="1:9" ht="36" customHeight="1" x14ac:dyDescent="0.25">
      <c r="A15" s="7">
        <v>12</v>
      </c>
      <c r="B15" s="21" t="str">
        <f t="shared" si="2"/>
        <v>Requisito 12</v>
      </c>
      <c r="C15" s="26" t="str">
        <f t="shared" si="3"/>
        <v/>
      </c>
      <c r="D15" s="26" t="str">
        <f t="shared" si="1"/>
        <v/>
      </c>
      <c r="E15" s="26" t="str">
        <f t="shared" si="1"/>
        <v/>
      </c>
      <c r="F15" s="26" t="str">
        <f t="shared" si="1"/>
        <v/>
      </c>
      <c r="G15" s="26" t="str">
        <f>IFERROR(VLOOKUP(My_CreaKeyCella($A15,G$2),Tab.db[[Key]:[Text]],2,FALSE),"")</f>
        <v/>
      </c>
      <c r="H15" s="26" t="str">
        <f>IFERROR(VLOOKUP(My_CreaKeyCella($A15,H$2),Tab.db[[Key]:[Text]],2,FALSE),"")</f>
        <v/>
      </c>
      <c r="I15" s="26" t="str">
        <f>IFERROR(VLOOKUP(My_CreaKeyCella($A15,I$2),Tab.db[[Key]:[Text]],2,FALSE),"")</f>
        <v/>
      </c>
    </row>
    <row r="16" spans="1:9" ht="36" customHeight="1" x14ac:dyDescent="0.25">
      <c r="A16" s="7">
        <v>13</v>
      </c>
      <c r="B16" s="21" t="str">
        <f t="shared" si="2"/>
        <v>Requisito 13</v>
      </c>
      <c r="C16" s="26" t="str">
        <f t="shared" si="3"/>
        <v/>
      </c>
      <c r="D16" s="26" t="str">
        <f t="shared" si="1"/>
        <v/>
      </c>
      <c r="E16" s="26" t="str">
        <f t="shared" si="1"/>
        <v/>
      </c>
      <c r="F16" s="26" t="str">
        <f t="shared" si="1"/>
        <v/>
      </c>
      <c r="G16" s="26" t="str">
        <f>IFERROR(VLOOKUP(My_CreaKeyCella($A16,G$2),Tab.db[[Key]:[Text]],2,FALSE),"")</f>
        <v/>
      </c>
      <c r="H16" s="26" t="str">
        <f>IFERROR(VLOOKUP(My_CreaKeyCella($A16,H$2),Tab.db[[Key]:[Text]],2,FALSE),"")</f>
        <v/>
      </c>
      <c r="I16" s="26" t="str">
        <f>IFERROR(VLOOKUP(My_CreaKeyCella($A16,I$2),Tab.db[[Key]:[Text]],2,FALSE),"")</f>
        <v/>
      </c>
    </row>
    <row r="17" spans="1:9" ht="36" customHeight="1" x14ac:dyDescent="0.25">
      <c r="A17" s="7">
        <v>14</v>
      </c>
      <c r="B17" s="21" t="str">
        <f t="shared" si="2"/>
        <v>Requisito 14</v>
      </c>
      <c r="C17" s="26" t="str">
        <f t="shared" si="3"/>
        <v/>
      </c>
      <c r="D17" s="26" t="str">
        <f t="shared" si="1"/>
        <v/>
      </c>
      <c r="E17" s="26" t="str">
        <f t="shared" si="1"/>
        <v/>
      </c>
      <c r="F17" s="26" t="str">
        <f t="shared" si="1"/>
        <v/>
      </c>
      <c r="G17" s="26" t="str">
        <f>IFERROR(VLOOKUP(My_CreaKeyCella($A17,G$2),Tab.db[[Key]:[Text]],2,FALSE),"")</f>
        <v/>
      </c>
      <c r="H17" s="26" t="str">
        <f>IFERROR(VLOOKUP(My_CreaKeyCella($A17,H$2),Tab.db[[Key]:[Text]],2,FALSE),"")</f>
        <v/>
      </c>
      <c r="I17" s="26" t="str">
        <f>IFERROR(VLOOKUP(My_CreaKeyCella($A17,I$2),Tab.db[[Key]:[Text]],2,FALSE),"")</f>
        <v/>
      </c>
    </row>
    <row r="18" spans="1:9" ht="36" customHeight="1" x14ac:dyDescent="0.25">
      <c r="A18" s="7">
        <v>15</v>
      </c>
      <c r="B18" s="21" t="str">
        <f t="shared" si="2"/>
        <v>Requisito 15</v>
      </c>
      <c r="C18" s="26" t="str">
        <f t="shared" si="3"/>
        <v/>
      </c>
      <c r="D18" s="26" t="str">
        <f t="shared" si="1"/>
        <v/>
      </c>
      <c r="E18" s="26" t="str">
        <f t="shared" si="1"/>
        <v/>
      </c>
      <c r="F18" s="26" t="str">
        <f t="shared" si="1"/>
        <v/>
      </c>
      <c r="G18" s="26" t="str">
        <f>IFERROR(VLOOKUP(My_CreaKeyCella($A18,G$2),Tab.db[[Key]:[Text]],2,FALSE),"")</f>
        <v/>
      </c>
      <c r="H18" s="26" t="str">
        <f>IFERROR(VLOOKUP(My_CreaKeyCella($A18,H$2),Tab.db[[Key]:[Text]],2,FALSE),"")</f>
        <v/>
      </c>
      <c r="I18" s="26" t="str">
        <f>IFERROR(VLOOKUP(My_CreaKeyCella($A18,I$2),Tab.db[[Key]:[Text]],2,FALSE),"")</f>
        <v/>
      </c>
    </row>
    <row r="19" spans="1:9" ht="36" customHeight="1" x14ac:dyDescent="0.25">
      <c r="A19" s="7">
        <v>16</v>
      </c>
      <c r="B19" s="21" t="str">
        <f t="shared" si="2"/>
        <v>Requisito 16</v>
      </c>
      <c r="C19" s="26" t="str">
        <f t="shared" si="3"/>
        <v/>
      </c>
      <c r="D19" s="26" t="str">
        <f t="shared" si="1"/>
        <v/>
      </c>
      <c r="E19" s="26" t="str">
        <f t="shared" si="1"/>
        <v/>
      </c>
      <c r="F19" s="26" t="str">
        <f t="shared" si="1"/>
        <v/>
      </c>
      <c r="G19" s="26" t="str">
        <f>IFERROR(VLOOKUP(My_CreaKeyCella($A19,G$2),Tab.db[[Key]:[Text]],2,FALSE),"")</f>
        <v/>
      </c>
      <c r="H19" s="26" t="str">
        <f>IFERROR(VLOOKUP(My_CreaKeyCella($A19,H$2),Tab.db[[Key]:[Text]],2,FALSE),"")</f>
        <v/>
      </c>
      <c r="I19" s="26" t="str">
        <f>IFERROR(VLOOKUP(My_CreaKeyCella($A19,I$2),Tab.db[[Key]:[Text]],2,FALSE),"")</f>
        <v/>
      </c>
    </row>
    <row r="20" spans="1:9" ht="36" customHeight="1" x14ac:dyDescent="0.25">
      <c r="A20" s="7">
        <v>17</v>
      </c>
      <c r="B20" s="21" t="str">
        <f t="shared" si="2"/>
        <v>Requisito 17</v>
      </c>
      <c r="C20" s="26" t="str">
        <f t="shared" si="3"/>
        <v/>
      </c>
      <c r="D20" s="26" t="str">
        <f t="shared" si="3"/>
        <v/>
      </c>
      <c r="E20" s="26" t="str">
        <f t="shared" si="3"/>
        <v/>
      </c>
      <c r="F20" s="26" t="str">
        <f t="shared" si="3"/>
        <v/>
      </c>
      <c r="G20" s="26" t="str">
        <f>IFERROR(VLOOKUP(My_CreaKeyCella($A20,G$2),Tab.db[[Key]:[Text]],2,FALSE),"")</f>
        <v/>
      </c>
      <c r="H20" s="26" t="str">
        <f>IFERROR(VLOOKUP(My_CreaKeyCella($A20,H$2),Tab.db[[Key]:[Text]],2,FALSE),"")</f>
        <v/>
      </c>
      <c r="I20" s="26" t="str">
        <f>IFERROR(VLOOKUP(My_CreaKeyCella($A20,I$2),Tab.db[[Key]:[Text]],2,FALSE),"")</f>
        <v/>
      </c>
    </row>
    <row r="21" spans="1:9" ht="36" customHeight="1" x14ac:dyDescent="0.25">
      <c r="A21" s="7">
        <v>18</v>
      </c>
      <c r="B21" s="21" t="str">
        <f t="shared" si="2"/>
        <v>Requisito 18</v>
      </c>
      <c r="C21" s="26" t="str">
        <f t="shared" si="3"/>
        <v/>
      </c>
      <c r="D21" s="26" t="str">
        <f t="shared" si="3"/>
        <v/>
      </c>
      <c r="E21" s="26" t="str">
        <f t="shared" si="3"/>
        <v/>
      </c>
      <c r="F21" s="26" t="str">
        <f t="shared" si="3"/>
        <v/>
      </c>
      <c r="G21" s="26" t="str">
        <f>IFERROR(VLOOKUP(My_CreaKeyCella($A21,G$2),Tab.db[[Key]:[Text]],2,FALSE),"")</f>
        <v/>
      </c>
      <c r="H21" s="26" t="str">
        <f>IFERROR(VLOOKUP(My_CreaKeyCella($A21,H$2),Tab.db[[Key]:[Text]],2,FALSE),"")</f>
        <v/>
      </c>
      <c r="I21" s="26" t="str">
        <f>IFERROR(VLOOKUP(My_CreaKeyCella($A21,I$2),Tab.db[[Key]:[Text]],2,FALSE),"")</f>
        <v/>
      </c>
    </row>
    <row r="22" spans="1:9" ht="36" customHeight="1" x14ac:dyDescent="0.25">
      <c r="A22" s="7">
        <v>19</v>
      </c>
      <c r="B22" s="21" t="str">
        <f t="shared" si="2"/>
        <v>Requisito 19</v>
      </c>
      <c r="C22" s="26" t="str">
        <f t="shared" si="3"/>
        <v/>
      </c>
      <c r="D22" s="26" t="str">
        <f t="shared" si="3"/>
        <v/>
      </c>
      <c r="E22" s="26" t="str">
        <f t="shared" si="3"/>
        <v/>
      </c>
      <c r="F22" s="26" t="str">
        <f t="shared" si="3"/>
        <v/>
      </c>
      <c r="G22" s="26" t="str">
        <f>IFERROR(VLOOKUP(My_CreaKeyCella($A22,G$2),Tab.db[[Key]:[Text]],2,FALSE),"")</f>
        <v/>
      </c>
      <c r="H22" s="26" t="str">
        <f>IFERROR(VLOOKUP(My_CreaKeyCella($A22,H$2),Tab.db[[Key]:[Text]],2,FALSE),"")</f>
        <v/>
      </c>
      <c r="I22" s="26" t="str">
        <f>IFERROR(VLOOKUP(My_CreaKeyCella($A22,I$2),Tab.db[[Key]:[Text]],2,FALSE),"")</f>
        <v/>
      </c>
    </row>
    <row r="23" spans="1:9" ht="36" customHeight="1" x14ac:dyDescent="0.25">
      <c r="A23" s="7">
        <v>20</v>
      </c>
      <c r="B23" s="21" t="str">
        <f t="shared" si="2"/>
        <v>Requisito 20</v>
      </c>
      <c r="C23" s="26" t="str">
        <f t="shared" si="3"/>
        <v/>
      </c>
      <c r="D23" s="26" t="str">
        <f t="shared" si="3"/>
        <v/>
      </c>
      <c r="E23" s="26" t="str">
        <f t="shared" si="3"/>
        <v/>
      </c>
      <c r="F23" s="26" t="str">
        <f t="shared" si="3"/>
        <v/>
      </c>
      <c r="G23" s="26" t="str">
        <f>IFERROR(VLOOKUP(My_CreaKeyCella($A23,G$2),Tab.db[[Key]:[Text]],2,FALSE),"")</f>
        <v/>
      </c>
      <c r="H23" s="26" t="str">
        <f>IFERROR(VLOOKUP(My_CreaKeyCella($A23,H$2),Tab.db[[Key]:[Text]],2,FALSE),"")</f>
        <v/>
      </c>
      <c r="I23" s="26" t="str">
        <f>IFERROR(VLOOKUP(My_CreaKeyCella($A23,I$2),Tab.db[[Key]:[Text]],2,FALSE),"")</f>
        <v/>
      </c>
    </row>
  </sheetData>
  <mergeCells count="1">
    <mergeCell ref="A1:B1"/>
  </mergeCells>
  <conditionalFormatting sqref="C4:I4 G5:I12 C5:F23">
    <cfRule type="containsText" dxfId="12" priority="3" operator="containsText" text="PASS">
      <formula>NOT(ISERROR(SEARCH("PASS",C4)))</formula>
    </cfRule>
    <cfRule type="containsText" dxfId="13" priority="2" operator="containsText" text="FAIL">
      <formula>NOT(ISERROR(SEARCH("FAIL",C4)))</formula>
    </cfRule>
    <cfRule type="containsText" dxfId="14" priority="1" operator="containsText" text="In progress">
      <formula>NOT(ISERROR(SEARCH("In progress",C4)))</formula>
    </cfRule>
  </conditionalFormatting>
  <pageMargins left="0.25" right="0.25" top="0.75" bottom="0.75" header="0.3" footer="0.3"/>
  <pageSetup paperSize="9" orientation="landscape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8"/>
  <sheetViews>
    <sheetView workbookViewId="0">
      <selection activeCell="B4" sqref="B4"/>
    </sheetView>
  </sheetViews>
  <sheetFormatPr defaultColWidth="0" defaultRowHeight="15" zeroHeight="1" x14ac:dyDescent="0.25"/>
  <cols>
    <col min="1" max="1" width="18.85546875" customWidth="1"/>
    <col min="2" max="2" width="38.5703125" customWidth="1"/>
    <col min="3" max="16384" width="9.140625" hidden="1"/>
  </cols>
  <sheetData>
    <row r="1" spans="1:2" ht="30.75" customHeight="1" x14ac:dyDescent="0.25">
      <c r="A1" s="15"/>
      <c r="B1" s="15"/>
    </row>
    <row r="2" spans="1:2" ht="26.25" customHeight="1" x14ac:dyDescent="0.25">
      <c r="A2" s="5" t="s">
        <v>30</v>
      </c>
      <c r="B2" s="10" t="str">
        <f>_prodotto</f>
        <v>Prodotto 1</v>
      </c>
    </row>
    <row r="3" spans="1:2" ht="26.25" customHeight="1" x14ac:dyDescent="0.25">
      <c r="A3" s="5" t="s">
        <v>29</v>
      </c>
      <c r="B3" s="10" t="str">
        <f>_requisito</f>
        <v>Requisito 1</v>
      </c>
    </row>
    <row r="4" spans="1:2" ht="26.25" customHeight="1" x14ac:dyDescent="0.25">
      <c r="A4" s="5" t="s">
        <v>26</v>
      </c>
      <c r="B4" s="22"/>
    </row>
    <row r="5" spans="1:2" ht="26.25" customHeight="1" x14ac:dyDescent="0.25">
      <c r="A5" s="5" t="s">
        <v>27</v>
      </c>
      <c r="B5" s="11"/>
    </row>
    <row r="6" spans="1:2" ht="26.25" customHeight="1" x14ac:dyDescent="0.25">
      <c r="A6" s="5" t="s">
        <v>31</v>
      </c>
      <c r="B6" s="11"/>
    </row>
    <row r="7" spans="1:2" x14ac:dyDescent="0.25">
      <c r="A7" s="13"/>
      <c r="B7" s="13"/>
    </row>
    <row r="8" spans="1:2" hidden="1" x14ac:dyDescent="0.25">
      <c r="A8" s="8" t="s">
        <v>32</v>
      </c>
      <c r="B8" s="12">
        <v>4</v>
      </c>
    </row>
    <row r="9" spans="1:2" hidden="1" x14ac:dyDescent="0.25">
      <c r="A9" s="8" t="s">
        <v>33</v>
      </c>
      <c r="B9" s="12">
        <v>3</v>
      </c>
    </row>
    <row r="10" spans="1:2" hidden="1" x14ac:dyDescent="0.25">
      <c r="A10" s="8" t="s">
        <v>1</v>
      </c>
      <c r="B10" s="12">
        <v>1</v>
      </c>
    </row>
    <row r="11" spans="1:2" hidden="1" x14ac:dyDescent="0.25">
      <c r="A11" s="8" t="s">
        <v>2</v>
      </c>
      <c r="B11" s="12">
        <v>1</v>
      </c>
    </row>
    <row r="12" spans="1:2" hidden="1" x14ac:dyDescent="0.25">
      <c r="A12" s="8" t="s">
        <v>29</v>
      </c>
      <c r="B12" s="12" t="s">
        <v>47</v>
      </c>
    </row>
    <row r="13" spans="1:2" hidden="1" x14ac:dyDescent="0.25">
      <c r="A13" s="8" t="s">
        <v>30</v>
      </c>
      <c r="B13" s="12" t="s">
        <v>50</v>
      </c>
    </row>
    <row r="14" spans="1:2" hidden="1" x14ac:dyDescent="0.25">
      <c r="A14" s="8" t="s">
        <v>48</v>
      </c>
      <c r="B14" s="12" t="s">
        <v>52</v>
      </c>
    </row>
    <row r="15" spans="1:2" hidden="1" x14ac:dyDescent="0.25">
      <c r="A15" s="13"/>
      <c r="B15" s="13"/>
    </row>
    <row r="16" spans="1:2" hidden="1" x14ac:dyDescent="0.25">
      <c r="A16" s="13"/>
      <c r="B16" s="13"/>
    </row>
    <row r="17" spans="1:2" hidden="1" x14ac:dyDescent="0.25">
      <c r="A17" s="13"/>
      <c r="B17" s="13"/>
    </row>
    <row r="18" spans="1:2" hidden="1" x14ac:dyDescent="0.25">
      <c r="A18" s="13"/>
      <c r="B18" s="13"/>
    </row>
  </sheetData>
  <sheetProtection sheet="1" objects="1" scenarios="1" selectLockedCells="1"/>
  <mergeCells count="1">
    <mergeCell ref="A1:B1"/>
  </mergeCells>
  <dataValidations count="1">
    <dataValidation type="list" allowBlank="1" sqref="B4">
      <formula1>"Pass,Fail,Not fully positive,TBD"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L2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4" width="5.7109375" customWidth="1"/>
    <col min="5" max="7" width="20.7109375" customWidth="1"/>
    <col min="8" max="8" width="15.7109375" customWidth="1"/>
    <col min="9" max="9" width="20.7109375" customWidth="1"/>
    <col min="12" max="12" width="9.7109375" bestFit="1" customWidth="1"/>
  </cols>
  <sheetData>
    <row r="1" spans="1:12" ht="30.75" customHeight="1" x14ac:dyDescent="0.25">
      <c r="A1" s="25" t="s">
        <v>0</v>
      </c>
      <c r="B1" s="25" t="s">
        <v>1</v>
      </c>
      <c r="C1" s="25" t="s">
        <v>2</v>
      </c>
      <c r="D1" s="25" t="s">
        <v>39</v>
      </c>
      <c r="E1" s="25" t="s">
        <v>26</v>
      </c>
      <c r="F1" s="25" t="s">
        <v>27</v>
      </c>
      <c r="G1" s="25" t="s">
        <v>37</v>
      </c>
      <c r="H1" s="25" t="s">
        <v>48</v>
      </c>
      <c r="I1" s="25" t="s">
        <v>49</v>
      </c>
    </row>
    <row r="2" spans="1:12" x14ac:dyDescent="0.25">
      <c r="A2" s="9">
        <v>1</v>
      </c>
      <c r="B2" s="9">
        <v>1</v>
      </c>
      <c r="C2" s="9">
        <v>1</v>
      </c>
      <c r="D2" s="9"/>
      <c r="E2" s="9"/>
      <c r="F2" s="9"/>
      <c r="G2" s="9"/>
      <c r="H2" s="9" t="str">
        <f>My_CreaKeyCella(Tab.db[[#This Row],[IdRequisito]],Tab.db[[#This Row],[IdProdotto]])</f>
        <v>K_1_1</v>
      </c>
      <c r="I2" s="16"/>
      <c r="L2" s="17"/>
    </row>
    <row r="3" spans="1:12" x14ac:dyDescent="0.25">
      <c r="A3" s="9">
        <v>2</v>
      </c>
      <c r="B3" s="9">
        <v>3</v>
      </c>
      <c r="C3" s="9">
        <v>4</v>
      </c>
      <c r="D3" s="9">
        <v>4</v>
      </c>
      <c r="E3" s="9" t="s">
        <v>25</v>
      </c>
      <c r="F3" s="9" t="s">
        <v>40</v>
      </c>
      <c r="G3" s="9"/>
      <c r="H3" s="9" t="str">
        <f>My_CreaKeyCella(Tab.db[[#This Row],[IdRequisito]],Tab.db[[#This Row],[IdProdotto]])</f>
        <v>K_3_4</v>
      </c>
      <c r="I3" s="16"/>
    </row>
    <row r="4" spans="1:12" x14ac:dyDescent="0.25">
      <c r="A4" s="9">
        <v>3</v>
      </c>
      <c r="B4" s="9">
        <v>4</v>
      </c>
      <c r="C4" s="9">
        <v>2</v>
      </c>
      <c r="D4" s="9">
        <v>2</v>
      </c>
      <c r="E4" s="9"/>
      <c r="F4" s="9"/>
      <c r="G4" s="9"/>
      <c r="H4" s="9" t="str">
        <f>My_CreaKeyCella(Tab.db[[#This Row],[IdRequisito]],Tab.db[[#This Row],[IdProdotto]])</f>
        <v>K_4_2</v>
      </c>
      <c r="I4" s="16"/>
    </row>
    <row r="5" spans="1:12" x14ac:dyDescent="0.25">
      <c r="A5" s="9">
        <v>4</v>
      </c>
      <c r="B5" s="9">
        <v>5</v>
      </c>
      <c r="C5" s="9">
        <v>3</v>
      </c>
      <c r="D5" s="9">
        <v>3</v>
      </c>
      <c r="E5" s="9" t="s">
        <v>25</v>
      </c>
      <c r="F5" s="9" t="s">
        <v>41</v>
      </c>
      <c r="G5" s="9" t="s">
        <v>51</v>
      </c>
      <c r="H5" s="9" t="str">
        <f>My_CreaKeyCella(Tab.db[[#This Row],[IdRequisito]],Tab.db[[#This Row],[IdProdotto]])</f>
        <v>K_5_3</v>
      </c>
      <c r="I5" s="16"/>
    </row>
    <row r="6" spans="1:12" x14ac:dyDescent="0.25">
      <c r="A6" s="9">
        <v>5</v>
      </c>
      <c r="B6" s="9">
        <v>6</v>
      </c>
      <c r="C6" s="9">
        <v>4</v>
      </c>
      <c r="D6" s="9">
        <v>4</v>
      </c>
      <c r="E6" s="9"/>
      <c r="F6" s="9"/>
      <c r="G6" s="9"/>
      <c r="H6" s="9" t="str">
        <f>My_CreaKeyCella(Tab.db[[#This Row],[IdRequisito]],Tab.db[[#This Row],[IdProdotto]])</f>
        <v>K_6_4</v>
      </c>
      <c r="I6" s="16"/>
    </row>
    <row r="7" spans="1:12" x14ac:dyDescent="0.25">
      <c r="A7" s="9">
        <v>6</v>
      </c>
      <c r="B7" s="9">
        <v>7</v>
      </c>
      <c r="C7" s="9">
        <v>1</v>
      </c>
      <c r="D7" s="9">
        <v>1</v>
      </c>
      <c r="E7" s="9" t="s">
        <v>34</v>
      </c>
      <c r="F7" s="9" t="s">
        <v>42</v>
      </c>
      <c r="G7" s="9" t="s">
        <v>46</v>
      </c>
      <c r="H7" s="9" t="str">
        <f>My_CreaKeyCella(Tab.db[[#This Row],[IdRequisito]],Tab.db[[#This Row],[IdProdotto]])</f>
        <v>K_7_1</v>
      </c>
      <c r="I7" s="16"/>
    </row>
    <row r="8" spans="1:12" x14ac:dyDescent="0.25">
      <c r="A8" s="9">
        <v>7</v>
      </c>
      <c r="B8" s="9">
        <v>8</v>
      </c>
      <c r="C8" s="9">
        <v>1</v>
      </c>
      <c r="D8" s="9">
        <v>1</v>
      </c>
      <c r="E8" s="9"/>
      <c r="F8" s="9"/>
      <c r="G8" s="9"/>
      <c r="H8" s="9" t="str">
        <f>My_CreaKeyCella(Tab.db[[#This Row],[IdRequisito]],Tab.db[[#This Row],[IdProdotto]])</f>
        <v>K_8_1</v>
      </c>
      <c r="I8" s="16"/>
    </row>
    <row r="9" spans="1:12" x14ac:dyDescent="0.25">
      <c r="A9" s="9">
        <v>8</v>
      </c>
      <c r="B9" s="9">
        <v>9</v>
      </c>
      <c r="C9" s="9">
        <v>1</v>
      </c>
      <c r="D9" s="9">
        <v>1</v>
      </c>
      <c r="E9" s="9"/>
      <c r="F9" s="9"/>
      <c r="G9" s="9"/>
      <c r="H9" s="9" t="str">
        <f>My_CreaKeyCella(Tab.db[[#This Row],[IdRequisito]],Tab.db[[#This Row],[IdProdotto]])</f>
        <v>K_9_1</v>
      </c>
      <c r="I9" s="16"/>
    </row>
    <row r="10" spans="1:12" x14ac:dyDescent="0.25">
      <c r="A10" s="9">
        <v>9</v>
      </c>
      <c r="B10" s="9">
        <v>1</v>
      </c>
      <c r="C10" s="9">
        <v>2</v>
      </c>
      <c r="D10" s="9">
        <v>2</v>
      </c>
      <c r="E10" s="9"/>
      <c r="F10" s="9" t="s">
        <v>53</v>
      </c>
      <c r="G10" s="9"/>
      <c r="H10" s="9" t="str">
        <f>My_CreaKeyCella(Tab.db[[#This Row],[IdRequisito]],Tab.db[[#This Row],[IdProdotto]])</f>
        <v>K_1_2</v>
      </c>
      <c r="I10" s="16"/>
    </row>
    <row r="11" spans="1:12" x14ac:dyDescent="0.25">
      <c r="A11" s="9">
        <v>10</v>
      </c>
      <c r="B11" s="9">
        <v>3</v>
      </c>
      <c r="C11" s="9">
        <v>1</v>
      </c>
      <c r="D11" s="9">
        <v>1</v>
      </c>
      <c r="E11" s="9" t="s">
        <v>25</v>
      </c>
      <c r="F11" s="9" t="s">
        <v>43</v>
      </c>
      <c r="G11" s="9" t="s">
        <v>51</v>
      </c>
      <c r="H11" s="9" t="str">
        <f>My_CreaKeyCella(Tab.db[[#This Row],[IdRequisito]],Tab.db[[#This Row],[IdProdotto]])</f>
        <v>K_3_1</v>
      </c>
      <c r="I11" s="16"/>
    </row>
    <row r="12" spans="1:12" x14ac:dyDescent="0.25">
      <c r="A12" s="9">
        <v>11</v>
      </c>
      <c r="B12" s="9">
        <v>4</v>
      </c>
      <c r="C12" s="9">
        <v>3</v>
      </c>
      <c r="D12" s="9">
        <v>3</v>
      </c>
      <c r="E12" s="9"/>
      <c r="F12" s="9"/>
      <c r="G12" s="9"/>
      <c r="H12" s="9" t="str">
        <f>My_CreaKeyCella(Tab.db[[#This Row],[IdRequisito]],Tab.db[[#This Row],[IdProdotto]])</f>
        <v>K_4_3</v>
      </c>
      <c r="I12" s="16"/>
    </row>
    <row r="13" spans="1:12" x14ac:dyDescent="0.25">
      <c r="A13" s="9">
        <v>12</v>
      </c>
      <c r="B13" s="9">
        <v>5</v>
      </c>
      <c r="C13" s="9">
        <v>4</v>
      </c>
      <c r="D13" s="9">
        <v>4</v>
      </c>
      <c r="E13" s="9"/>
      <c r="F13" s="9"/>
      <c r="G13" s="9"/>
      <c r="H13" s="9" t="str">
        <f>My_CreaKeyCella(Tab.db[[#This Row],[IdRequisito]],Tab.db[[#This Row],[IdProdotto]])</f>
        <v>K_5_4</v>
      </c>
      <c r="I13" s="16"/>
    </row>
    <row r="14" spans="1:12" x14ac:dyDescent="0.25">
      <c r="A14" s="9">
        <v>13</v>
      </c>
      <c r="B14" s="9">
        <v>6</v>
      </c>
      <c r="C14" s="9">
        <v>3</v>
      </c>
      <c r="D14" s="9">
        <v>3</v>
      </c>
      <c r="E14" s="9" t="s">
        <v>34</v>
      </c>
      <c r="F14" s="9" t="s">
        <v>44</v>
      </c>
      <c r="G14" s="9" t="s">
        <v>35</v>
      </c>
      <c r="H14" s="9" t="str">
        <f>My_CreaKeyCella(Tab.db[[#This Row],[IdRequisito]],Tab.db[[#This Row],[IdProdotto]])</f>
        <v>K_6_3</v>
      </c>
      <c r="I14" s="16"/>
    </row>
    <row r="15" spans="1:12" x14ac:dyDescent="0.25">
      <c r="A15" s="9">
        <v>14</v>
      </c>
      <c r="B15" s="9">
        <v>7</v>
      </c>
      <c r="C15" s="9">
        <v>4</v>
      </c>
      <c r="D15" s="9">
        <v>4</v>
      </c>
      <c r="E15" s="9"/>
      <c r="F15" s="9"/>
      <c r="G15" s="9"/>
      <c r="H15" s="9" t="str">
        <f>My_CreaKeyCella(Tab.db[[#This Row],[IdRequisito]],Tab.db[[#This Row],[IdProdotto]])</f>
        <v>K_7_4</v>
      </c>
      <c r="I15" s="16"/>
    </row>
    <row r="16" spans="1:12" x14ac:dyDescent="0.25">
      <c r="A16" s="9">
        <v>15</v>
      </c>
      <c r="B16" s="9">
        <v>8</v>
      </c>
      <c r="C16" s="9">
        <v>4</v>
      </c>
      <c r="D16" s="9">
        <v>4</v>
      </c>
      <c r="E16" s="9"/>
      <c r="F16" s="9"/>
      <c r="G16" s="9"/>
      <c r="H16" s="9" t="str">
        <f>My_CreaKeyCella(Tab.db[[#This Row],[IdRequisito]],Tab.db[[#This Row],[IdProdotto]])</f>
        <v>K_8_4</v>
      </c>
      <c r="I16" s="16"/>
    </row>
    <row r="17" spans="1:9" x14ac:dyDescent="0.25">
      <c r="A17" s="9">
        <v>16</v>
      </c>
      <c r="B17" s="9">
        <v>9</v>
      </c>
      <c r="C17" s="9">
        <v>4</v>
      </c>
      <c r="D17" s="9">
        <v>4</v>
      </c>
      <c r="E17" s="9" t="s">
        <v>34</v>
      </c>
      <c r="F17" s="9" t="s">
        <v>45</v>
      </c>
      <c r="G17" s="9"/>
      <c r="H17" s="9" t="str">
        <f>My_CreaKeyCella(Tab.db[[#This Row],[IdRequisito]],Tab.db[[#This Row],[IdProdotto]])</f>
        <v>K_9_4</v>
      </c>
      <c r="I17" s="16"/>
    </row>
    <row r="18" spans="1:9" x14ac:dyDescent="0.25">
      <c r="A18" s="9">
        <v>17</v>
      </c>
      <c r="B18" s="9">
        <v>1</v>
      </c>
      <c r="C18" s="9">
        <v>3</v>
      </c>
      <c r="D18" s="9">
        <v>3</v>
      </c>
      <c r="E18" s="9"/>
      <c r="F18" s="9"/>
      <c r="G18" s="9"/>
      <c r="H18" s="9" t="str">
        <f>My_CreaKeyCella(Tab.db[[#This Row],[IdRequisito]],Tab.db[[#This Row],[IdProdotto]])</f>
        <v>K_1_3</v>
      </c>
      <c r="I18" s="16"/>
    </row>
    <row r="19" spans="1:9" x14ac:dyDescent="0.25">
      <c r="A19" s="9">
        <v>18</v>
      </c>
      <c r="B19" s="9">
        <v>3</v>
      </c>
      <c r="C19" s="9">
        <v>3</v>
      </c>
      <c r="D19" s="9">
        <v>3</v>
      </c>
      <c r="E19" s="9"/>
      <c r="F19" s="9"/>
      <c r="G19" s="9"/>
      <c r="H19" s="9" t="str">
        <f>My_CreaKeyCella(Tab.db[[#This Row],[IdRequisito]],Tab.db[[#This Row],[IdProdotto]])</f>
        <v>K_3_3</v>
      </c>
      <c r="I19" s="16"/>
    </row>
    <row r="20" spans="1:9" x14ac:dyDescent="0.25">
      <c r="A20" s="9">
        <v>19</v>
      </c>
      <c r="B20" s="9">
        <v>2</v>
      </c>
      <c r="C20" s="9">
        <v>1</v>
      </c>
      <c r="D20" s="9"/>
      <c r="E20" s="9"/>
      <c r="F20" s="9"/>
      <c r="G20" s="9"/>
      <c r="H20" s="23" t="str">
        <f>My_CreaKeyCella(Tab.db[[#This Row],[IdRequisito]],Tab.db[[#This Row],[IdProdotto]])</f>
        <v>K_2_1</v>
      </c>
      <c r="I20" s="2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4.28515625" customWidth="1"/>
  </cols>
  <sheetData>
    <row r="1" spans="1:2" x14ac:dyDescent="0.25">
      <c r="A1" t="s">
        <v>0</v>
      </c>
      <c r="B1" t="s">
        <v>38</v>
      </c>
    </row>
    <row r="2" spans="1:2" ht="75" customHeight="1" x14ac:dyDescent="0.25">
      <c r="A2" s="1">
        <v>1</v>
      </c>
    </row>
    <row r="3" spans="1:2" ht="75" customHeight="1" x14ac:dyDescent="0.25">
      <c r="A3" s="1">
        <v>2</v>
      </c>
    </row>
    <row r="4" spans="1:2" ht="75" customHeight="1" x14ac:dyDescent="0.25">
      <c r="A4" s="1">
        <v>3</v>
      </c>
    </row>
    <row r="5" spans="1:2" ht="75" customHeight="1" x14ac:dyDescent="0.25">
      <c r="A5" s="1">
        <v>4</v>
      </c>
    </row>
    <row r="6" spans="1:2" ht="75" customHeight="1" x14ac:dyDescent="0.25">
      <c r="A6" s="1">
        <v>5</v>
      </c>
    </row>
    <row r="7" spans="1:2" ht="75" customHeight="1" x14ac:dyDescent="0.25">
      <c r="A7" s="1">
        <v>6</v>
      </c>
    </row>
    <row r="8" spans="1:2" ht="75" customHeight="1" x14ac:dyDescent="0.25">
      <c r="A8" s="1">
        <v>7</v>
      </c>
    </row>
    <row r="9" spans="1:2" ht="75" customHeight="1" x14ac:dyDescent="0.25"/>
    <row r="10" spans="1:2" ht="75" customHeight="1" x14ac:dyDescent="0.25"/>
    <row r="11" spans="1:2" ht="75" customHeight="1" x14ac:dyDescent="0.25"/>
    <row r="12" spans="1:2" ht="75" customHeight="1" x14ac:dyDescent="0.25"/>
    <row r="13" spans="1:2" ht="75" customHeight="1" x14ac:dyDescent="0.25"/>
    <row r="14" spans="1:2" ht="75" customHeight="1" x14ac:dyDescent="0.25"/>
    <row r="15" spans="1:2" ht="75" customHeight="1" x14ac:dyDescent="0.25"/>
    <row r="16" spans="1:2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11</vt:i4>
      </vt:variant>
    </vt:vector>
  </HeadingPairs>
  <TitlesOfParts>
    <vt:vector size="19" baseType="lpstr">
      <vt:lpstr>dati</vt:lpstr>
      <vt:lpstr>piv</vt:lpstr>
      <vt:lpstr>keys</vt:lpstr>
      <vt:lpstr>ui</vt:lpstr>
      <vt:lpstr>matrice_ui</vt:lpstr>
      <vt:lpstr>edit_cella</vt:lpstr>
      <vt:lpstr>db</vt:lpstr>
      <vt:lpstr>images</vt:lpstr>
      <vt:lpstr>_colonna</vt:lpstr>
      <vt:lpstr>_coverBy</vt:lpstr>
      <vt:lpstr>_documento</vt:lpstr>
      <vt:lpstr>_esito</vt:lpstr>
      <vt:lpstr>_idProdotto</vt:lpstr>
      <vt:lpstr>_idRequisito</vt:lpstr>
      <vt:lpstr>_key</vt:lpstr>
      <vt:lpstr>_prodotto</vt:lpstr>
      <vt:lpstr>_requisito</vt:lpstr>
      <vt:lpstr>_riga</vt:lpstr>
      <vt:lpstr>matrice_ui!Titoli_stampa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cp:lastPrinted>2021-11-13T12:41:19Z</cp:lastPrinted>
  <dcterms:created xsi:type="dcterms:W3CDTF">2021-10-13T17:16:05Z</dcterms:created>
  <dcterms:modified xsi:type="dcterms:W3CDTF">2021-11-14T12:05:55Z</dcterms:modified>
</cp:coreProperties>
</file>